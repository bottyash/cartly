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S1 Discover" sheetId="3" state="visible" r:id="rId5"/>
    <sheet name="S2 Define" sheetId="4" state="visible" r:id="rId6"/>
    <sheet name="S3 Design" sheetId="5" state="visible" r:id="rId7"/>
    <sheet name="S4 Build" sheetId="6" state="visible" r:id="rId8"/>
    <sheet name="S5 Launch" sheetId="7" state="visible" r:id="rId9"/>
    <sheet name="S6 Operate"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Team roster as listed in the Sprint 0 scrum update header.</t>
        </r>
      </text>
    </comment>
    <comment ref="C7" authorId="0">
      <text>
        <r>
          <rPr>
            <sz val="10"/>
            <rFont val="Arial"/>
            <family val="2"/>
          </rPr>
          <t xml:space="preserve">Date as stated on the Sprint 0 scrum update ([22-06-26], read as 2026-06-22 given the doc's June 2026 context).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30" authorId="0">
      <text>
        <r>
          <rPr>
            <sz val="10"/>
            <rFont val="Arial"/>
            <family val="2"/>
          </rPr>
          <t xml:space="preserve">Real: "Resolution time per ticket — 11 minutes active + wait" baseline, Cartly PDLC v1.0 Executive Summary, Key Targets at a Glance.</t>
        </r>
      </text>
    </comment>
    <comment ref="D35" authorId="0">
      <text>
        <r>
          <rPr>
            <sz val="10"/>
            <rFont val="Arial"/>
            <family val="2"/>
          </rPr>
          <t xml:space="preserve">Set to NO because all three capability probes are PENDING (n=0) — no golden-set evaluation has run yet (Sprint 0 update: Evaluation Plan 90% actual, golden set deferred to Sprint 1).</t>
        </r>
      </text>
    </comment>
    <comment ref="D37" authorId="0">
      <text>
        <r>
          <rPr>
            <sz val="10"/>
            <rFont val="Arial"/>
            <family val="2"/>
          </rPr>
          <t xml:space="preserve">Set to NO — there is no real finance function to agree this with; Cartly is a fictional client for this engagement (PDLC Scope Statement).</t>
        </r>
      </text>
    </comment>
    <comment ref="F30" authorId="0">
      <text>
        <r>
          <rPr>
            <sz val="10"/>
            <rFont val="Arial"/>
            <family val="2"/>
          </rPr>
          <t xml:space="preserve">Placeholder, back-derived: the PDLC doc gives no explicit hourly rate, only "Cost per resolved ticket: USD 3–8 (fully loaded)" as the baseline. $30/hr × 11 min lands at $5.50/ticket, inside that documented range — not an independently invented number, but not a sourced rate either.</t>
        </r>
      </text>
    </comment>
    <comment ref="F31" authorId="0">
      <text>
        <r>
          <rPr>
            <sz val="10"/>
            <rFont val="Arial"/>
            <family val="2"/>
          </rPr>
          <t xml:space="preserve">PLACEHOLDER — Cartly's baseline daily/monthly ticket volume is an open question (Probing Q1, PDLC §1.5). Assumption A1 sets only the peak multiplier (3× weekday average), not the base volume. Replace once volume is confirmed.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25" authorId="0">
      <text>
        <r>
          <rPr>
            <sz val="10"/>
            <rFont val="Arial"/>
            <family val="2"/>
          </rPr>
          <t xml:space="preserve">Set to NO — golden scenarios aren't drafted yet; the Sprint 0 update logs golden-set methodology as pending Sprint 1.</t>
        </r>
      </text>
    </comment>
    <comment ref="D26" authorId="0">
      <text>
        <r>
          <rPr>
            <sz val="10"/>
            <rFont val="Arial"/>
            <family val="2"/>
          </rPr>
          <t xml:space="preserve">Set to YES — the kill-switch fallback behaviour, including the customer-facing acknowledgement copy, is fully specified in PDLC §4.2.</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Every number in this tab is a forward-looking projection, not measured data — the system has not launched. The team is still in Sprint 0 (Discover &amp; Define); this tab shows what a representative four weeks of production would need to look like to hit the real PRD targets.</t>
        </r>
      </text>
    </comment>
    <comment ref="C13" authorId="0">
      <text>
        <r>
          <rPr>
            <sz val="10"/>
            <rFont val="Arial"/>
            <family val="2"/>
          </rPr>
          <t xml:space="preserve">Costs now in INR to match the real guardrails: PRD cost ceiling is INR 30/resolved ticket, with a warning alarm at INR 25 (PDLC §2.4, §6.3) — not USD as in the earlier draft.</t>
        </r>
      </text>
    </comment>
    <comment ref="G16" authorId="0">
      <text>
        <r>
          <rPr>
            <sz val="10"/>
            <rFont val="Arial"/>
            <family val="2"/>
          </rPr>
          <t xml:space="preserve">Real PRD target: autonomous resolution rate ≥65% by Sprint 4 (PRD §2.4) — corrected from an earlier placeholder of 0.85.</t>
        </r>
      </text>
    </comment>
    <comment ref="G19" authorId="0">
      <text>
        <r>
          <rPr>
            <sz val="10"/>
            <rFont val="Arial"/>
            <family val="2"/>
          </rPr>
          <t xml:space="preserve">Real: cost/session warning threshold = INR 25 — the 24h rolling-average alarm that fires before the hard ceiling (PDLC §6.3).</t>
        </r>
      </text>
    </comment>
    <comment ref="G20" authorId="0">
      <text>
        <r>
          <rPr>
            <sz val="10"/>
            <rFont val="Arial"/>
            <family val="2"/>
          </rPr>
          <t xml:space="preserve">Real: cost/successful-task hard ceiling = INR 30/resolved ticket (PRD §2.4, §2.5 guardrail).</t>
        </r>
      </text>
    </comment>
  </commentList>
</comments>
</file>

<file path=xl/sharedStrings.xml><?xml version="1.0" encoding="utf-8"?>
<sst xmlns="http://schemas.openxmlformats.org/spreadsheetml/2006/main" count="502" uniqueCount="372">
  <si>
    <t xml:space="preserve">01 · Agentic PDLC Simulator — Cartly Edition</t>
  </si>
  <si>
    <t xml:space="preserve">Companion workbook · The Agentic PDLC · grounded in the Sprint 0 scrum update + Cartly PDLC v1.0</t>
  </si>
  <si>
    <t xml:space="preserve">PURPOSE</t>
  </si>
  <si>
    <t xml:space="preserve">Run one agentic product end to end through the six-stage lifecycle. Each stage tab holds that stage's decision instrument plus an exit gate; every gate rolls up live to the Dashboard. At any moment the file answers: where are we, what blocks us, who owns it.</t>
  </si>
  <si>
    <t xml:space="preserve">HOW TO USE</t>
  </si>
  <si>
    <t xml:space="preserve">1.  Start on the Dashboard — Cartly's refund-eligibility resolution agent is loaded with real Sprint 0 status, with gates on HOLD wherever the team's own update says so.</t>
  </si>
  <si>
    <t xml:space="preserve">2.  Work each stage tab: change inputs, watch verdicts recompute, flip exit-gate items to YES only when they are true.</t>
  </si>
  <si>
    <t xml:space="preserve">3.  Fix the three planted holds live — Stage 2 (failure-path twin + unsigned threshold), Stage 4 (under-slacked decisions), Stage 5 (open mandatory items) — and watch the Dashboard go green.</t>
  </si>
  <si>
    <t xml:space="preserve">4.  For your own product: overwrite every cream cell. (This copy reflects the actual Sprint 0 scrum update dated 2026-06-22 and Cartly_PDLC_v1_0.pdf — not a hypothetical.)</t>
  </si>
  <si>
    <t xml:space="preserve">COLOUR KEY</t>
  </si>
  <si>
    <t xml:space="preserve">Cream + blue text = your inputs (dropdowns and free text). Sand = live formulas, leave alone. Verdicts self-colour green / amber / red.</t>
  </si>
  <si>
    <t xml:space="preserve">DEMO DATA</t>
  </si>
  <si>
    <t xml:space="preserve">Prefilled from two real project documents: the Sprint 0 scrum update (team, blockers, planned-vs-actual %) and the Cartly PDLC v1.0 (personas, ticket distribution, PRD metrics, agent topology, risk register, assumptions A1–A10). Cells with no source in either document are marked with a comment.</t>
  </si>
  <si>
    <t xml:space="preserve">SESSION LINK</t>
  </si>
  <si>
    <t xml:space="preserve">Deck slides 6–20. Gate logic mirrors the exit gates on slides 7–18; the planted holds mirror the case-study lessons on slide 28.</t>
  </si>
  <si>
    <t xml:space="preserve">NOTES</t>
  </si>
  <si>
    <t xml:space="preserve">Depth lives in the companions: PRD instruments in 02, eval &amp; operations in 03, money in 04, drills in 05. This file is the spine.</t>
  </si>
  <si>
    <t xml:space="preserve">Checklists use YES / NO dropdowns rather than form checkboxes by design — they survive Google Sheets import and feed formulas cleanly. Built for Excel and LibreOffice.</t>
  </si>
  <si>
    <t xml:space="preserve">Lifecycle Dashboard</t>
  </si>
  <si>
    <t xml:space="preserve">Live rollup of all six stage gates · nothing typed here except the product header</t>
  </si>
  <si>
    <t xml:space="preserve">PRODUCT UNDER SIMULATION</t>
  </si>
  <si>
    <t xml:space="preserve">Product / feature</t>
  </si>
  <si>
    <t xml:space="preserve">Cartly Refund Resolution Agent (POC — refund eligibility tickets)</t>
  </si>
  <si>
    <t xml:space="preserve">Product owner</t>
  </si>
  <si>
    <t xml:space="preserve">Avishka Jindal, Hiten Mistry, Yash Parmar</t>
  </si>
  <si>
    <t xml:space="preserve">Review date</t>
  </si>
  <si>
    <t xml:space="preserve">2026-06-22</t>
  </si>
  <si>
    <t xml:space="preserve">STAGE GATES — PULLED LIVE FROM EACH TAB</t>
  </si>
  <si>
    <t xml:space="preserve">Stage</t>
  </si>
  <si>
    <t xml:space="preserve">Core question</t>
  </si>
  <si>
    <t xml:space="preserve">Gate</t>
  </si>
  <si>
    <t xml:space="preserve">Signal (live from the tab)</t>
  </si>
  <si>
    <t xml:space="preserve">1 · Discover &amp; qualify</t>
  </si>
  <si>
    <t xml:space="preserve">Can the model do this reliably enough — and how do we know before building?</t>
  </si>
  <si>
    <t xml:space="preserve">2 · Define</t>
  </si>
  <si>
    <t xml:space="preserve">What does the failing % experience — and at what threshold do we escalate?</t>
  </si>
  <si>
    <t xml:space="preserve">3 · Design</t>
  </si>
  <si>
    <t xml:space="preserve">Where does code decide vs the model — and what gates the writes?</t>
  </si>
  <si>
    <t xml:space="preserve">4 · Build &amp; phase</t>
  </si>
  <si>
    <t xml:space="preserve">Which open decision blocks which phase — owned by whom, by when?</t>
  </si>
  <si>
    <t xml:space="preserve">5 · Validate &amp; launch</t>
  </si>
  <si>
    <t xml:space="preserve">What statistical evidence gates this release?</t>
  </si>
  <si>
    <t xml:space="preserve">6 · Operate &amp; improve</t>
  </si>
  <si>
    <t xml:space="preserve">What did production teach the golden set this week?</t>
  </si>
  <si>
    <t xml:space="preserve">ROLLUP</t>
  </si>
  <si>
    <t xml:space="preserve">Stages passed</t>
  </si>
  <si>
    <t xml:space="preserve">Current focus</t>
  </si>
  <si>
    <t xml:space="preserve">Rule of the room</t>
  </si>
  <si>
    <t xml:space="preserve">A gate is a checklist of facts, not a vibe. If an item is not true yet, it stays NO — this dashboard exists to make HOLD visible, not comfortable.</t>
  </si>
  <si>
    <t xml:space="preserve">Stage 1 · Discover &amp; qualify</t>
  </si>
  <si>
    <t xml:space="preserve">Fit filter → red-zone check → capability probes → displaced-cost baseline → exit gate</t>
  </si>
  <si>
    <t xml:space="preserve">STAGE GATE</t>
  </si>
  <si>
    <t xml:space="preserve">A · FIT FILTER — SCORE THE CANDIDATE BEFORE ANYTHING ELSE</t>
  </si>
  <si>
    <t xml:space="preserve">Question</t>
  </si>
  <si>
    <t xml:space="preserve">What a 2 looks like</t>
  </si>
  <si>
    <t xml:space="preserve">Score 0–2</t>
  </si>
  <si>
    <t xml:space="preserve">Rationale</t>
  </si>
  <si>
    <t xml:space="preserve">Volume</t>
  </si>
  <si>
    <t xml:space="preserve">High enough that automation compounds — thousands of tasks a month, not dozens</t>
  </si>
  <si>
    <t xml:space="preserve">Refund/return requests are 22% of total ticket volume — 2nd-largest category after WISMO (PDLC §1.2); exact monthly count is unconfirmed (Probing Q1 / Assumption A1 covers only the 3× peak multiplier, not the base volume)</t>
  </si>
  <si>
    <t xml:space="preserve">Input variability</t>
  </si>
  <si>
    <t xml:space="preserve">Too varied to enumerate branches — the reason rules failed here</t>
  </si>
  <si>
    <t xml:space="preserve">Free-text refund requests with varying reason codes and tone — Bitext (27k Q&amp;A, 27 intents) + Twitter corpus (3M, messy/emotional) selected to span this (PDLC §5.1)</t>
  </si>
  <si>
    <t xml:space="preserve">Output verifiability</t>
  </si>
  <si>
    <t xml:space="preserve">A cheap, fast check exists — schema, cross-source, or rules</t>
  </si>
  <si>
    <t xml:space="preserve">Eligibility checked against the INR 500 autonomy threshold (Assumption A2) + policy KB — deterministic, fast, rules-first check</t>
  </si>
  <si>
    <t xml:space="preserve">Failure tolerance + recovery</t>
  </si>
  <si>
    <t xml:space="preserve">Errors are visible, recoverable, and a human path exists</t>
  </si>
  <si>
    <t xml:space="preserve">Refund issuance above the INR 500 threshold is hard to reverse; Risk Register 4.1 ("Wrong refund or account action") rates this Low likelihood / Critical impact, mitigated by the hard threshold + human approval + immutable action log</t>
  </si>
  <si>
    <t xml:space="preserve">Data &amp; tool availability</t>
  </si>
  <si>
    <t xml:space="preserve">APIs and ground truth exist today, not post-integration</t>
  </si>
  <si>
    <t xml:space="preserve">Mock services seeded from the Bitext primary dataset; keyword-matched policy KB built for the POC (Chroma adoption deferred — see S4 OD-03)</t>
  </si>
  <si>
    <t xml:space="preserve">Fit score / verdict</t>
  </si>
  <si>
    <t xml:space="preserve">B · RED-ZONE CHECK — SOME DECISIONS NEVER GO TO THE MODEL</t>
  </si>
  <si>
    <t xml:space="preserve">Decision in the flow</t>
  </si>
  <si>
    <t xml:space="preserve">Money / compliance?</t>
  </si>
  <si>
    <t xml:space="preserve">Who decides</t>
  </si>
  <si>
    <t xml:space="preserve">Verdict</t>
  </si>
  <si>
    <t xml:space="preserve">Refund issuance above INR 500 (Assumption A2)</t>
  </si>
  <si>
    <t xml:space="preserve">YES</t>
  </si>
  <si>
    <t xml:space="preserve">Rules only</t>
  </si>
  <si>
    <t xml:space="preserve">Refund amount / max_refund_amount calculation</t>
  </si>
  <si>
    <t xml:space="preserve">INR 500 autonomy threshold check (Refund Agent)</t>
  </si>
  <si>
    <t xml:space="preserve">Policy citation verification (Safety Critic, RAGAS faithfulness ≥0.70 gate)</t>
  </si>
  <si>
    <t xml:space="preserve">Model drafts — rules decide</t>
  </si>
  <si>
    <t xml:space="preserve">Ticket intent / risk-tier classification (Triage Agent)</t>
  </si>
  <si>
    <t xml:space="preserve">NO</t>
  </si>
  <si>
    <t xml:space="preserve">Model decides</t>
  </si>
  <si>
    <t xml:space="preserve">Policy answer drafting (Policy Agent)</t>
  </si>
  <si>
    <t xml:space="preserve">C · CAPABILITY PROBE LOG — EVIDENCE BEFORE REQUIREMENTS</t>
  </si>
  <si>
    <t xml:space="preserve">Probe · task</t>
  </si>
  <si>
    <t xml:space="preserve">Sampling method</t>
  </si>
  <si>
    <t xml:space="preserve">n</t>
  </si>
  <si>
    <t xml:space="preserve">Correct</t>
  </si>
  <si>
    <t xml:space="preserve">Accuracy</t>
  </si>
  <si>
    <t xml:space="preserve">Required</t>
  </si>
  <si>
    <t xml:space="preserve">Sample note</t>
  </si>
  <si>
    <t xml:space="preserve">PRB-01 · Triage Agent — intent classification &amp; risk-tier assignment</t>
  </si>
  <si>
    <t xml:space="preserve">Random sample</t>
  </si>
  <si>
    <t xml:space="preserve">PRB-02 · Refund Agent — eligibility determination vs. INR 500 threshold + policy KB</t>
  </si>
  <si>
    <t xml:space="preserve">PRB-03 · Safety Critic — independent policy-citation verification (RAGAS faithfulness)</t>
  </si>
  <si>
    <t xml:space="preserve">No probes run yet — the Sprint 0 update logs the Evaluation Plan at 90% actual, with golden-set methodology explicitly deferred to Sprint 1. All three rows sit at PENDING (n=0) until that lands; "Required" already carries the real PRD/guardrail targets they'll be measured against.</t>
  </si>
  <si>
    <t xml:space="preserve">D · DISPLACED-COST BASELINE — WHAT THE CANDIDATE MUST BEAT (FEEDS STAGE 6 AND WORKBOOK 04)</t>
  </si>
  <si>
    <t xml:space="preserve">Manual handling minutes / task</t>
  </si>
  <si>
    <t xml:space="preserve">Loaded rate $/hour</t>
  </si>
  <si>
    <t xml:space="preserve">Manual cost / task</t>
  </si>
  <si>
    <t xml:space="preserve">Tasks / month</t>
  </si>
  <si>
    <t xml:space="preserve">Monthly manual cost — the baseline</t>
  </si>
  <si>
    <t xml:space="preserve">E · EXIT GATE — ALL FIVE MUST BE YES</t>
  </si>
  <si>
    <t xml:space="preserve">Acceptable error rate is written down (with the client / ops, not assumed)</t>
  </si>
  <si>
    <t xml:space="preserve">The failure path is written down — what the failing % experience</t>
  </si>
  <si>
    <t xml:space="preserve">Every probe has a verdict — none PENDING, none INVALID</t>
  </si>
  <si>
    <t xml:space="preserve">Red-zone check shows zero violations</t>
  </si>
  <si>
    <t xml:space="preserve">Displaced-cost baseline agreed with finance</t>
  </si>
  <si>
    <t xml:space="preserve">Stage 2 · Define</t>
  </si>
  <si>
    <t xml:space="preserve">AC completeness check + threshold owners + exit gate · full AC workbench: workbook 02, tab 1</t>
  </si>
  <si>
    <t xml:space="preserve">A · ACCEPTANCE-CRITERIA COMPLETENESS — THE 4-PART TEST ON FIVE SAMPLED ACS</t>
  </si>
  <si>
    <t xml:space="preserve">FR</t>
  </si>
  <si>
    <t xml:space="preserve">Acceptance criterion (as written)</t>
  </si>
  <si>
    <t xml:space="preserve">Metric + threshold?</t>
  </si>
  <si>
    <t xml:space="preserve">Named test set?</t>
  </si>
  <si>
    <t xml:space="preserve">Measurement method?</t>
  </si>
  <si>
    <t xml:space="preserve">Failure path?</t>
  </si>
  <si>
    <t xml:space="preserve">Status</t>
  </si>
  <si>
    <t xml:space="preserve">FR-01</t>
  </si>
  <si>
    <t xml:space="preserve">Autonomous resolution rate ≥65% by Sprint 4 (≥50% by Sprint 3) — % of tickets fully closed by AI, no human action, no follow-up within 48h (PRD §2.4)</t>
  </si>
  <si>
    <t xml:space="preserve">FR-05</t>
  </si>
  <si>
    <t xml:space="preserve">Escalation precision ≥85% — of escalated tickets, % that genuinely needed a human (PRD §2.4)</t>
  </si>
  <si>
    <t xml:space="preserve">FR-14</t>
  </si>
  <si>
    <t xml:space="preserve">Groundedness (RAGAS faithfulness) ≥0.85, never below 0.70 guardrail floor (PRD §2.4–2.5)</t>
  </si>
  <si>
    <t xml:space="preserve">FR-16</t>
  </si>
  <si>
    <t xml:space="preserve">Safety on sensitive cases = 100%, never negotiable — any deviation triggers immediate rollback (PRD §2.5)</t>
  </si>
  <si>
    <t xml:space="preserve">FR-08</t>
  </si>
  <si>
    <t xml:space="preserve">Cost per resolved ticket &lt; INR 30, with a warning alarm at INR 25 (PRD §2.4 / §6.3)</t>
  </si>
  <si>
    <t xml:space="preserve">Golden-set methodology is explicitly deferred to Sprint 1 (Evaluation Plan logged at 90% actual in the Sprint 0 update) — that's why "Named test set?" is NO on four of five rows. Lock the golden set in Sprint 1 and they flip to COMPLETE.</t>
  </si>
  <si>
    <t xml:space="preserve">B · THRESHOLD OWNERS — EVERY NUMBER THAT TRIGGERS BEHAVIOUR CARRIES A NAME</t>
  </si>
  <si>
    <t xml:space="preserve">Threshold</t>
  </si>
  <si>
    <t xml:space="preserve">Value</t>
  </si>
  <si>
    <t xml:space="preserve">Lives in (PRD section)</t>
  </si>
  <si>
    <t xml:space="preserve">Owner role</t>
  </si>
  <si>
    <t xml:space="preserve">Sign-off</t>
  </si>
  <si>
    <t xml:space="preserve">Peak surge multiplier (Assumption A1)</t>
  </si>
  <si>
    <t xml:space="preserve">3× weekday average (assumed)</t>
  </si>
  <si>
    <t xml:space="preserve">§1.5 / §2.6 NFR</t>
  </si>
  <si>
    <t xml:space="preserve">Per-ticket cost ceiling (Assumption A3)</t>
  </si>
  <si>
    <t xml:space="preserve">INR 30 / resolved ticket (warning at INR 25)</t>
  </si>
  <si>
    <t xml:space="preserve">§2.4 / §2.6 Cost NFR</t>
  </si>
  <si>
    <t xml:space="preserve">First-response latency target (Assumption A4)</t>
  </si>
  <si>
    <t xml:space="preserve">30 seconds</t>
  </si>
  <si>
    <t xml:space="preserve">§2.6 NFR</t>
  </si>
  <si>
    <t xml:space="preserve">Hard-escalation trigger list (Assumption A5)</t>
  </si>
  <si>
    <t xml:space="preserve">Fraud, legal action, account suspension keywords</t>
  </si>
  <si>
    <t xml:space="preserve">§4.2 Kill switch triggers</t>
  </si>
  <si>
    <t xml:space="preserve">All four thresholds ship UNSIGNED — exactly the Sprint 0 blocker: A1 (peak surge), A3 (cost ceiling), A4 (latency target) and A5 (escalation trigger list) are logged as unconfirmed client assumptions with no real Cartly stakeholder to validate them against, since the client is fictional for this engagement. Benchmarked against Intercom Fin / Zendesk / Klarna as a substitute for sign-off — none of the four carries a named, signed owner yet.</t>
  </si>
  <si>
    <t xml:space="preserve">C · EXIT GATE — ALL FOUR MUST BE YES</t>
  </si>
  <si>
    <t xml:space="preserve">Every statistical AC has a failure-path twin</t>
  </si>
  <si>
    <t xml:space="preserve">Every threshold has a named, signed owner</t>
  </si>
  <si>
    <t xml:space="preserve">Golden scenarios drafted alongside the FRs (workbook 02, tab 4)</t>
  </si>
  <si>
    <t xml:space="preserve">Error taxonomy drafted with user-facing copy (workbook 02, tab 2)</t>
  </si>
  <si>
    <t xml:space="preserve">Stage 3 · Design</t>
  </si>
  <si>
    <t xml:space="preserve">The five conversations + the write-action register · product-led, schema-free</t>
  </si>
  <si>
    <t xml:space="preserve">A · THE FIVE CONVERSATIONS — HELD, DECIDED, OWNED</t>
  </si>
  <si>
    <t xml:space="preserve">Conversation</t>
  </si>
  <si>
    <t xml:space="preserve">The question you ask, verbatim</t>
  </si>
  <si>
    <t xml:space="preserve">Held?</t>
  </si>
  <si>
    <t xml:space="preserve">Decision recorded</t>
  </si>
  <si>
    <t xml:space="preserve">Owner of the trade</t>
  </si>
  <si>
    <t xml:space="preserve">1 · Control-flow boundary</t>
  </si>
  <si>
    <t xml:space="preserve">Where does code decide, where does the model — and what's the blast radius when a model decision is wrong?</t>
  </si>
  <si>
    <t xml:space="preserve">Router-and-handoff triages by intent/risk at entry; orchestrator-worker supervises the specialist agents as the outer loop; sequential steps run inside each worker (PDLC §3.3)</t>
  </si>
  <si>
    <t xml:space="preserve">Team</t>
  </si>
  <si>
    <t xml:space="preserve">2 · Write-action gating</t>
  </si>
  <si>
    <t xml:space="preserve">What changes the world? What stands between intent and execution? On validator timeout — fail closed or fail open?</t>
  </si>
  <si>
    <t xml:space="preserve">Evaluator-optimizer (Safety Critic) gates every reply before send; Refund Agent's INR 500 threshold (A2) gates autonomous refund actions (PDLC §3.2, Risk Register 4.1)</t>
  </si>
  <si>
    <t xml:space="preserve">Team (signed)</t>
  </si>
  <si>
    <t xml:space="preserve">3 · Model right-sizing</t>
  </si>
  <si>
    <t xml:space="preserve">Why this model per role? Cost and latency delta of a downgrade — and the eval evidence covering it?</t>
  </si>
  <si>
    <t xml:space="preserve">Frontier tier for the Dispute Agent only (multi-party reasoning); medium tier for Refund / Policy / Safety Critic; cheap tier for Triage / Order / Escalation (PDLC §3.5)</t>
  </si>
  <si>
    <t xml:space="preserve">SA + Finance</t>
  </si>
  <si>
    <t xml:space="preserve">4 · State, memory, privacy</t>
  </si>
  <si>
    <t xml:space="preserve">What persists, where, for how long, who reads it — and what must never persist?</t>
  </si>
  <si>
    <t xml:space="preserve">Within-interaction state in LangGraph; cross-interaction customer profile in PostgreSQL; policy KB versioned in ChromaDB (target state) / keyword KB (POC); audit log append-only and immutable (PDLC §3.7)</t>
  </si>
  <si>
    <t xml:space="preserve">SA + Privacy</t>
  </si>
  <si>
    <t xml:space="preserve">5 · Failure &amp; degradation</t>
  </si>
  <si>
    <t xml:space="preserve">Per dependency, the model included: the degraded behaviour and the exact user message?</t>
  </si>
  <si>
    <t xml:space="preserve">Kill switch SYSTEM_MODE=human_only forces every ticket to the human queue with no redeploy; hard-trigger keywords (fraud, legal action, police, lawsuit) always escalate regardless of model confidence (PDLC §4.2)</t>
  </si>
  <si>
    <t xml:space="preserve">PM + Ops</t>
  </si>
  <si>
    <t xml:space="preserve">B · WRITE-ACTION REGISTER — EVERY ACTION THAT CHANGES THE WORLD, GATED AND DEFINED</t>
  </si>
  <si>
    <t xml:space="preserve">Write action</t>
  </si>
  <si>
    <t xml:space="preserve">Gated by</t>
  </si>
  <si>
    <t xml:space="preserve">On gate timeout</t>
  </si>
  <si>
    <t xml:space="preserve">Reversible?</t>
  </si>
  <si>
    <t xml:space="preserve">refund_action (issue refund)</t>
  </si>
  <si>
    <t xml:space="preserve">Safety Critic + INR 500 threshold + idempotency key</t>
  </si>
  <si>
    <t xml:space="preserve">Fail closed — BLOCK</t>
  </si>
  <si>
    <t xml:space="preserve">PARTIAL — refund reversal entry</t>
  </si>
  <si>
    <t xml:space="preserve">crm_update (mark ticket resolved)</t>
  </si>
  <si>
    <t xml:space="preserve">Orchestrator rule check</t>
  </si>
  <si>
    <t xml:space="preserve">YES — reopen ticket</t>
  </si>
  <si>
    <t xml:space="preserve">human_handoff (escalate)</t>
  </si>
  <si>
    <t xml:space="preserve">Hard-trigger rules + confidence floor</t>
  </si>
  <si>
    <t xml:space="preserve">Fail open — PROCEED</t>
  </si>
  <si>
    <t xml:space="preserve">YES — reassign</t>
  </si>
  <si>
    <t xml:space="preserve">policy_retrieval-backed reply send</t>
  </si>
  <si>
    <t xml:space="preserve">Safety Critic, RAGAS faithfulness ≥0.70</t>
  </si>
  <si>
    <t xml:space="preserve">NO — correction issued, original logged</t>
  </si>
  <si>
    <t xml:space="preserve">SYSTEM_MODE kill-switch toggle</t>
  </si>
  <si>
    <t xml:space="preserve">Operator only (human), no model in the loop</t>
  </si>
  <si>
    <t xml:space="preserve">YES — toggle back</t>
  </si>
  <si>
    <t xml:space="preserve">Note the one fail-open by design: human_handoff. If the escalation gate itself fails, the safest default is to escalate anyway, not to block (PDLC §4.2). Fail-closed-vs-open is a per-action product trade, not a blanket policy.</t>
  </si>
  <si>
    <t xml:space="preserve">Stage 4 · Build &amp; phase</t>
  </si>
  <si>
    <t xml:space="preserve">Open-decisions log with slack math + workflow-fallback register · decisions are the critical path</t>
  </si>
  <si>
    <t xml:space="preserve">A · OPEN-DECISIONS LOG — SLACK COMPUTED AGAINST THE PHASE EACH DECISION BLOCKS</t>
  </si>
  <si>
    <t xml:space="preserve">ID</t>
  </si>
  <si>
    <t xml:space="preserve">Decision</t>
  </si>
  <si>
    <t xml:space="preserve">Type</t>
  </si>
  <si>
    <t xml:space="preserve">Owner</t>
  </si>
  <si>
    <t xml:space="preserve">Due (wk)</t>
  </si>
  <si>
    <t xml:space="preserve">Blocks phase</t>
  </si>
  <si>
    <t xml:space="preserve">Phase start (wk)</t>
  </si>
  <si>
    <t xml:space="preserve">Slack (wk)</t>
  </si>
  <si>
    <t xml:space="preserve">Blocking?</t>
  </si>
  <si>
    <t xml:space="preserve">Flag</t>
  </si>
  <si>
    <t xml:space="preserve">OD-01</t>
  </si>
  <si>
    <t xml:space="preserve">Per-ticket cost ceiling confirmation (Assumption A3) — final INR 30 limit sign-off</t>
  </si>
  <si>
    <t xml:space="preserve">Technical w/ commercial consequence</t>
  </si>
  <si>
    <t xml:space="preserve">Architecture + Product</t>
  </si>
  <si>
    <t xml:space="preserve">P1</t>
  </si>
  <si>
    <t xml:space="preserve">Open</t>
  </si>
  <si>
    <t xml:space="preserve">OD-02</t>
  </si>
  <si>
    <t xml:space="preserve">Peak surge multiplier confirmation (Assumption A1) — concurrency design input</t>
  </si>
  <si>
    <t xml:space="preserve">Commercial</t>
  </si>
  <si>
    <t xml:space="preserve">Product + Finance</t>
  </si>
  <si>
    <t xml:space="preserve">OD-03</t>
  </si>
  <si>
    <t xml:space="preserve">Policy-KB approach — keyword-matched KB (POC) vs. ChromaDB vector search</t>
  </si>
  <si>
    <t xml:space="preserve">Engineering + Design</t>
  </si>
  <si>
    <t xml:space="preserve">Resolved</t>
  </si>
  <si>
    <t xml:space="preserve">OD-04</t>
  </si>
  <si>
    <t xml:space="preserve">First-response latency target confirmation (Assumption A4) — drives the model-routing policy</t>
  </si>
  <si>
    <t xml:space="preserve">Legal / compliance</t>
  </si>
  <si>
    <t xml:space="preserve">Product (no real Cartly stakeholder available)</t>
  </si>
  <si>
    <t xml:space="preserve">P3</t>
  </si>
  <si>
    <t xml:space="preserve">OD-05</t>
  </si>
  <si>
    <t xml:space="preserve">Hard-escalation trigger-list finalization (Assumption A5) — completeness of fraud/legal/account keywords</t>
  </si>
  <si>
    <t xml:space="preserve">Engineering + Finance</t>
  </si>
  <si>
    <t xml:space="preserve">P4</t>
  </si>
  <si>
    <t xml:space="preserve">OD-06</t>
  </si>
  <si>
    <t xml:space="preserve">Data-retention policy for ticket PII</t>
  </si>
  <si>
    <t xml:space="preserve">Legal</t>
  </si>
  <si>
    <t xml:space="preserve">Production</t>
  </si>
  <si>
    <t xml:space="preserve">OD-07</t>
  </si>
  <si>
    <t xml:space="preserve">LLM provider/model fallback chain for the LiteLLM gateway</t>
  </si>
  <si>
    <t xml:space="preserve">Compliance + Product</t>
  </si>
  <si>
    <t xml:space="preserve">P2</t>
  </si>
  <si>
    <t xml:space="preserve">OD-01, OD-02 and OD-04 carry exactly the Sprint 0 blocker language from the scrum update: A1, A3 and A4 are unconfirmed client assumptions with no real Cartly stakeholder to validate against, since the client is fictional for this engagement. Tracked at github.com/bottyash/cartly.git.</t>
  </si>
  <si>
    <t xml:space="preserve">B · WORKFLOW-FALLBACK REGISTER — THE DESCOPE IS DESIGNED UP FRONT</t>
  </si>
  <si>
    <t xml:space="preserve">Agentic feature</t>
  </si>
  <si>
    <t xml:space="preserve">Fallback designed?</t>
  </si>
  <si>
    <t xml:space="preserve">The fallback</t>
  </si>
  <si>
    <t xml:space="preserve">Descope trigger</t>
  </si>
  <si>
    <t xml:space="preserve">Autonomous refund issuance above INR 500</t>
  </si>
  <si>
    <t xml:space="preserve">Mandatory human approval gate above threshold (Risk Register 4.1 — "Wrong refund or account action")</t>
  </si>
  <si>
    <t xml:space="preserve">Any confirmed incorrect autonomous refund in QA or production</t>
  </si>
  <si>
    <t xml:space="preserve">Autonomous policy answer without grounding</t>
  </si>
  <si>
    <t xml:space="preserve">Self-RAG/CRAG abstain + escalate when Safety Critic faithfulness &lt; 0.70</t>
  </si>
  <si>
    <t xml:space="preserve">RAGAS faithfulness drops below the 0.70 guardrail floor (Risk Register 4.1 — "Hallucinated policy")</t>
  </si>
  <si>
    <t xml:space="preserve">Full automation with no kill switch</t>
  </si>
  <si>
    <t xml:space="preserve">SYSTEM_MODE=human_only — one environment variable, no redeploy (PDLC §4.2)</t>
  </si>
  <si>
    <t xml:space="preserve">Cost-ceiling breach, wrong-action incident, or confirmed prompt injection (PDLC §8.3 Incident Response)</t>
  </si>
  <si>
    <t xml:space="preserve">REFERENCE · PHASE START WEEKS (EDIT TO YOUR PLAN)</t>
  </si>
  <si>
    <t xml:space="preserve">Phase</t>
  </si>
  <si>
    <t xml:space="preserve">Start wk</t>
  </si>
  <si>
    <t xml:space="preserve">Stage 5 · Validate &amp; launch</t>
  </si>
  <si>
    <t xml:space="preserve">The agentic launch checklist · every gate is statistical or rehearsed — none is a checkbox</t>
  </si>
  <si>
    <t xml:space="preserve">Readiness</t>
  </si>
  <si>
    <t xml:space="preserve">Launch verdict</t>
  </si>
  <si>
    <t xml:space="preserve">Group</t>
  </si>
  <si>
    <t xml:space="preserve">Item</t>
  </si>
  <si>
    <t xml:space="preserve">Mandatory</t>
  </si>
  <si>
    <t xml:space="preserve">Evidence / note</t>
  </si>
  <si>
    <t xml:space="preserve">Evidence</t>
  </si>
  <si>
    <t xml:space="preserve">Golden refund-ticket suite at release threshold with zero NOT RUN</t>
  </si>
  <si>
    <t xml:space="preserve">IN PROGRESS</t>
  </si>
  <si>
    <t xml:space="preserve">Not yet — golden set deferred to Sprint 1 per Sprint 0 update</t>
  </si>
  <si>
    <t xml:space="preserve">Component evals exist for every write-capable tool</t>
  </si>
  <si>
    <t xml:space="preserve">DONE</t>
  </si>
  <si>
    <t xml:space="preserve">refund_action + crm_update + human_handoff identified in PDLC §3.8; evals not yet run</t>
  </si>
  <si>
    <t xml:space="preserve">Red-team / prompt-injection suite run AND monitoring live in production</t>
  </si>
  <si>
    <t xml:space="preserve">NOT STARTED</t>
  </si>
  <si>
    <t xml:space="preserve">500-example adversarial set is planned (PDLC §5.3); none of it executed yet — Sprint 1+ work</t>
  </si>
  <si>
    <t xml:space="preserve">Security</t>
  </si>
  <si>
    <t xml:space="preserve">PII log scan clean across all log groups</t>
  </si>
  <si>
    <t xml:space="preserve">Mock-data POC: no real PII in scope (Bitext is synthetic, no real PII per PDLC §5.2)</t>
  </si>
  <si>
    <t xml:space="preserve">Least-privilege review signed per agent</t>
  </si>
  <si>
    <t xml:space="preserve">Tool-access scoping defined in agent registry (PDLC §3.6); no formal sign-off process exists for a fictional client</t>
  </si>
  <si>
    <t xml:space="preserve">Ops</t>
  </si>
  <si>
    <t xml:space="preserve">Escalation path live end to end — consumer committed, staffed, tested</t>
  </si>
  <si>
    <t xml:space="preserve">Human-escalation queue is a stub; no real ops consumer exists for a fictional client</t>
  </si>
  <si>
    <t xml:space="preserve">Runbook reviewed; on-call trained on agent incident taxonomy</t>
  </si>
  <si>
    <t xml:space="preserve">Incident-response steps drafted in PDLC §8.3; team walkthrough not yet run</t>
  </si>
  <si>
    <t xml:space="preserve">Degraded modes verified by killing each dependency in staging</t>
  </si>
  <si>
    <t xml:space="preserve">Escalation path verified to fire correctly without any LLM calls (confirmed in Sprint 0)</t>
  </si>
  <si>
    <t xml:space="preserve">Data processing agreements signed with every external processor</t>
  </si>
  <si>
    <t xml:space="preserve">N/A for a fictional client; placeholder process documented in PDLC §8.3, not executable</t>
  </si>
  <si>
    <t xml:space="preserve">Audit retention configured and verified</t>
  </si>
  <si>
    <t xml:space="preserve">7-year audit retention specified for the append-only log (PDLC §3.7); not yet implemented</t>
  </si>
  <si>
    <t xml:space="preserve">Release</t>
  </si>
  <si>
    <t xml:space="preserve">Model + prompt versions pinned AND pins resolve in CI</t>
  </si>
  <si>
    <t xml:space="preserve">No CI pipeline exists yet for the POC</t>
  </si>
  <si>
    <t xml:space="preserve">Rollback to previous model + prompt rehearsed, time recorded</t>
  </si>
  <si>
    <t xml:space="preserve">Canary/rollback plan specified in PDLC §8.3; not yet rehearsed</t>
  </si>
  <si>
    <t xml:space="preserve">Economics</t>
  </si>
  <si>
    <t xml:space="preserve">Cost alarms armed and test-fired at the 10× threshold</t>
  </si>
  <si>
    <t xml:space="preserve">Budget-alarm design (warn at INR 25, hard ceiling INR 30) specified in PDLC §6.3; not yet wired up</t>
  </si>
  <si>
    <t xml:space="preserve">Containment + cost-per-success dashboards live</t>
  </si>
  <si>
    <t xml:space="preserve">Dashboard design specified (PDLC §6.4); build not started</t>
  </si>
  <si>
    <t xml:space="preserve">Comms</t>
  </si>
  <si>
    <t xml:space="preserve">Support macros + customer-facing failure copy approved</t>
  </si>
  <si>
    <t xml:space="preserve">Escalation acknowledgement copy drafted in PDLC §4.2 fallback behaviour</t>
  </si>
  <si>
    <t xml:space="preserve">Change</t>
  </si>
  <si>
    <t xml:space="preserve">Prompt / model change-control process documented</t>
  </si>
  <si>
    <t xml:space="preserve">Canary + rollback process documented in PDLC §8.3</t>
  </si>
  <si>
    <t xml:space="preserve">Nearly everything here is NOT STARTED or IN PROGRESS — accurate, since the team is still at Sprint 0 (Discover &amp; Define). This tab is a forward look at Sprint 4's exit bar, not a status report on work that was ever in scope yet.</t>
  </si>
  <si>
    <t xml:space="preserve">Stage 6 · Operate &amp; improve</t>
  </si>
  <si>
    <t xml:space="preserve">Four-week KPI grid + golden-suite growth · the gate recurs monthly, forever</t>
  </si>
  <si>
    <t xml:space="preserve">A · WEEKLY INPUTS — TYPE THE EIGHT RAW NUMBERS; EVERYTHING BELOW COMPUTES</t>
  </si>
  <si>
    <t xml:space="preserve">Raw input</t>
  </si>
  <si>
    <t xml:space="preserve">W1</t>
  </si>
  <si>
    <t xml:space="preserve">W2</t>
  </si>
  <si>
    <t xml:space="preserve">W3</t>
  </si>
  <si>
    <t xml:space="preserve">W4</t>
  </si>
  <si>
    <t xml:space="preserve">Sessions</t>
  </si>
  <si>
    <t xml:space="preserve">Completed without human help</t>
  </si>
  <si>
    <t xml:space="preserve">Escalations raised</t>
  </si>
  <si>
    <t xml:space="preserve">Escalations judged necessary (sampled review)</t>
  </si>
  <si>
    <t xml:space="preserve">Guard blocks</t>
  </si>
  <si>
    <t xml:space="preserve">… of which false blocks</t>
  </si>
  <si>
    <t xml:space="preserve">Verified task successes</t>
  </si>
  <si>
    <t xml:space="preserve">Total cost $ (LLM + infra)</t>
  </si>
  <si>
    <t xml:space="preserve">KPI</t>
  </si>
  <si>
    <t xml:space="preserve">Target</t>
  </si>
  <si>
    <t xml:space="preserve">Dir</t>
  </si>
  <si>
    <t xml:space="preserve">Latest-week status</t>
  </si>
  <si>
    <t xml:space="preserve">Gaming mode to watch</t>
  </si>
  <si>
    <t xml:space="preserve">Containment rate</t>
  </si>
  <si>
    <t xml:space="preserve">≥</t>
  </si>
  <si>
    <t xml:space="preserve">Gamed by suppressing escalation — pair with row below</t>
  </si>
  <si>
    <t xml:space="preserve">Escalation quality</t>
  </si>
  <si>
    <t xml:space="preserve">Gamed by rubber-stamping — sample the reviews</t>
  </si>
  <si>
    <t xml:space="preserve">False-block rate</t>
  </si>
  <si>
    <t xml:space="preserve">≤</t>
  </si>
  <si>
    <t xml:space="preserve">False blocks are silent conversion killers — review weekly</t>
  </si>
  <si>
    <t xml:space="preserve">Cost / session (LLM + infra)</t>
  </si>
  <si>
    <t xml:space="preserve">Flatters when failures are cheap — see next row</t>
  </si>
  <si>
    <t xml:space="preserve">Cost / successful task</t>
  </si>
  <si>
    <t xml:space="preserve">The honest unit — failed sessions still cost</t>
  </si>
  <si>
    <t xml:space="preserve">C · GOLDEN-SUITE GROWTH — LAUNCH-GRADE IS A FIXED SET; OPERATING-GRADE IS A GROWING ONE</t>
  </si>
  <si>
    <t xml:space="preserve">Month</t>
  </si>
  <si>
    <t xml:space="preserve">Scenarios at start</t>
  </si>
  <si>
    <t xml:space="preserve">Added from production</t>
  </si>
  <si>
    <t xml:space="preserve">Retired</t>
  </si>
  <si>
    <t xml:space="preserve">At end</t>
  </si>
  <si>
    <t xml:space="preserve">Pass rate</t>
  </si>
  <si>
    <t xml:space="preserve">M1</t>
  </si>
  <si>
    <t xml:space="preserve">M2</t>
  </si>
  <si>
    <t xml:space="preserve">M3</t>
  </si>
  <si>
    <t xml:space="preserve">Set M3 'Added' to 0 and watch the flag and the dashboard signal change — a suite that stopped growing means nobody is reading the refund-ticket traces.</t>
  </si>
  <si>
    <t xml:space="preserve">Latest-month additions (hook)</t>
  </si>
  <si>
    <t xml:space="preserve">D · EXIT GATE — RECURS MONTHLY</t>
  </si>
  <si>
    <t xml:space="preserve">Golden suite grew this month (additions &gt; 0)</t>
  </si>
  <si>
    <t xml:space="preserve">Pass rate held at or above target</t>
  </si>
  <si>
    <t xml:space="preserve">Weekly failure triage + monthly cost review both happened</t>
  </si>
</sst>
</file>

<file path=xl/styles.xml><?xml version="1.0" encoding="utf-8"?>
<styleSheet xmlns="http://schemas.openxmlformats.org/spreadsheetml/2006/main">
  <numFmts count="7">
    <numFmt numFmtId="164" formatCode="General"/>
    <numFmt numFmtId="165" formatCode="0.0%"/>
    <numFmt numFmtId="166" formatCode="0%"/>
    <numFmt numFmtId="167" formatCode="\$#,##0.00"/>
    <numFmt numFmtId="168" formatCode="#,##0"/>
    <numFmt numFmtId="169" formatCode="\$#,##0"/>
    <numFmt numFmtId="170" formatCode="\$0.0000"/>
  </numFmts>
  <fonts count="18">
    <font>
      <sz val="11"/>
      <color theme="1"/>
      <name val="Calibri"/>
      <family val="2"/>
      <charset val="1"/>
    </font>
    <font>
      <sz val="10"/>
      <name val="Arial"/>
      <family val="0"/>
    </font>
    <font>
      <sz val="10"/>
      <name val="Arial"/>
      <family val="0"/>
    </font>
    <font>
      <sz val="10"/>
      <name val="Arial"/>
      <family val="0"/>
    </font>
    <font>
      <b val="true"/>
      <sz val="18"/>
      <color rgb="FF221E19"/>
      <name val="Calibri"/>
      <family val="0"/>
      <charset val="1"/>
    </font>
    <font>
      <i val="true"/>
      <sz val="10"/>
      <color rgb="FF8A7E6F"/>
      <name val="Calibri"/>
      <family val="0"/>
      <charset val="1"/>
    </font>
    <font>
      <b val="true"/>
      <sz val="11"/>
      <color rgb="FFC06B4B"/>
      <name val="Calibri"/>
      <family val="0"/>
      <charset val="1"/>
    </font>
    <font>
      <sz val="10.5"/>
      <color rgb="FF221E19"/>
      <name val="Calibri"/>
      <family val="0"/>
      <charset val="1"/>
    </font>
    <font>
      <sz val="10"/>
      <color rgb="FF221E19"/>
      <name val="Calibri"/>
      <family val="0"/>
      <charset val="1"/>
    </font>
    <font>
      <b val="true"/>
      <sz val="15"/>
      <color rgb="FF221E19"/>
      <name val="Calibri"/>
      <family val="0"/>
      <charset val="1"/>
    </font>
    <font>
      <i val="true"/>
      <sz val="9"/>
      <color rgb="FF8A7E6F"/>
      <name val="Calibri"/>
      <family val="0"/>
      <charset val="1"/>
    </font>
    <font>
      <b val="true"/>
      <sz val="10"/>
      <color rgb="FF221E19"/>
      <name val="Calibri"/>
      <family val="0"/>
      <charset val="1"/>
    </font>
    <font>
      <sz val="10"/>
      <color rgb="FF1F497D"/>
      <name val="Calibri"/>
      <family val="0"/>
      <charset val="1"/>
    </font>
    <font>
      <b val="true"/>
      <sz val="9.5"/>
      <color rgb="FFF7F3EC"/>
      <name val="Calibri"/>
      <family val="0"/>
      <charset val="1"/>
    </font>
    <font>
      <b val="true"/>
      <sz val="10"/>
      <color rgb="FFC06B4B"/>
      <name val="Calibri"/>
      <family val="0"/>
      <charset val="1"/>
    </font>
    <font>
      <i val="true"/>
      <sz val="10"/>
      <color rgb="FF221E19"/>
      <name val="Calibri"/>
      <family val="0"/>
      <charset val="1"/>
    </font>
    <font>
      <sz val="10"/>
      <name val="Arial"/>
      <family val="2"/>
    </font>
    <font>
      <b val="true"/>
      <sz val="10"/>
      <color rgb="FF1F497D"/>
      <name val="Calibri"/>
      <family val="0"/>
      <charset val="1"/>
    </font>
  </fonts>
  <fills count="5">
    <fill>
      <patternFill patternType="none"/>
    </fill>
    <fill>
      <patternFill patternType="gray125"/>
    </fill>
    <fill>
      <patternFill patternType="solid">
        <fgColor rgb="FFFFF4DC"/>
        <bgColor rgb="FFFBEFD4"/>
      </patternFill>
    </fill>
    <fill>
      <patternFill patternType="solid">
        <fgColor rgb="FF221E19"/>
        <bgColor rgb="FF003300"/>
      </patternFill>
    </fill>
    <fill>
      <patternFill patternType="solid">
        <fgColor rgb="FFF0EBE1"/>
        <bgColor rgb="FFE3E9D8"/>
      </patternFill>
    </fill>
  </fills>
  <borders count="2">
    <border diagonalUp="false" diagonalDown="false">
      <left/>
      <right/>
      <top/>
      <bottom/>
      <diagonal/>
    </border>
    <border diagonalUp="false" diagonalDown="false">
      <left style="thin">
        <color rgb="FFD8CEC0"/>
      </left>
      <right style="thin">
        <color rgb="FFD8CEC0"/>
      </right>
      <top style="thin">
        <color rgb="FFD8CEC0"/>
      </top>
      <bottom style="thin">
        <color rgb="FFD8CE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6" fontId="12" fillId="2" borderId="1" xfId="0" applyFont="true" applyBorder="true" applyAlignment="true" applyProtection="false">
      <alignment horizontal="general" vertical="top" textRotation="0" wrapText="true" indent="0" shrinkToFit="false"/>
      <protection locked="true" hidden="false"/>
    </xf>
    <xf numFmtId="167" fontId="12" fillId="2"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8" fontId="12" fillId="2" borderId="1" xfId="0" applyFont="true" applyBorder="true" applyAlignment="true" applyProtection="false">
      <alignment horizontal="general" vertical="top" textRotation="0" wrapText="true" indent="0" shrinkToFit="false"/>
      <protection locked="true" hidden="false"/>
    </xf>
    <xf numFmtId="169" fontId="11" fillId="4" borderId="1"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general" vertical="top" textRotation="0" wrapText="true" indent="0" shrinkToFit="false"/>
      <protection locked="true" hidden="false"/>
    </xf>
    <xf numFmtId="165" fontId="12" fillId="2" borderId="1" xfId="0" applyFont="true" applyBorder="true" applyAlignment="true" applyProtection="false">
      <alignment horizontal="general" vertical="top" textRotation="0" wrapText="true" indent="0" shrinkToFit="false"/>
      <protection locked="true" hidden="false"/>
    </xf>
    <xf numFmtId="170" fontId="8" fillId="4" borderId="1" xfId="0" applyFont="true" applyBorder="true" applyAlignment="true" applyProtection="false">
      <alignment horizontal="general" vertical="top" textRotation="0" wrapText="true" indent="0" shrinkToFit="false"/>
      <protection locked="true" hidden="false"/>
    </xf>
    <xf numFmtId="170" fontId="12" fillId="2"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b val="1"/>
        <color rgb="FF8C3A2F"/>
        <sz val="10"/>
      </font>
      <fill>
        <patternFill>
          <bgColor rgb="FFF3DDD6"/>
        </patternFill>
      </fill>
    </dxf>
    <dxf>
      <font>
        <name val="Calibri"/>
        <charset val="1"/>
        <family val="0"/>
        <b val="1"/>
        <color rgb="FF8A6D1A"/>
        <sz val="10"/>
      </font>
      <fill>
        <patternFill>
          <bgColor rgb="FFFBEFD4"/>
        </patternFill>
      </fill>
    </dxf>
    <dxf>
      <font>
        <name val="Calibri"/>
        <charset val="1"/>
        <family val="0"/>
        <b val="1"/>
        <color rgb="FF4F5A33"/>
        <sz val="10"/>
      </font>
      <fill>
        <patternFill>
          <bgColor rgb="FFE3E9D8"/>
        </patternFill>
      </fill>
    </dxf>
  </dxfs>
  <colors>
    <indexedColors>
      <rgbColor rgb="FF000000"/>
      <rgbColor rgb="FFF7F3EC"/>
      <rgbColor rgb="FFFF0000"/>
      <rgbColor rgb="FF00FF00"/>
      <rgbColor rgb="FF0000FF"/>
      <rgbColor rgb="FFFFFF00"/>
      <rgbColor rgb="FFFF00FF"/>
      <rgbColor rgb="FF00FFFF"/>
      <rgbColor rgb="FF800000"/>
      <rgbColor rgb="FF008000"/>
      <rgbColor rgb="FF000080"/>
      <rgbColor rgb="FF8A6D1A"/>
      <rgbColor rgb="FF800080"/>
      <rgbColor rgb="FF008080"/>
      <rgbColor rgb="FFD8CEC0"/>
      <rgbColor rgb="FF8A7E6F"/>
      <rgbColor rgb="FF9999FF"/>
      <rgbColor rgb="FF993366"/>
      <rgbColor rgb="FFFFF4DC"/>
      <rgbColor rgb="FFF0EBE1"/>
      <rgbColor rgb="FF660066"/>
      <rgbColor rgb="FFC06B4B"/>
      <rgbColor rgb="FF0066CC"/>
      <rgbColor rgb="FFCCCCFF"/>
      <rgbColor rgb="FF000080"/>
      <rgbColor rgb="FFFF00FF"/>
      <rgbColor rgb="FFFFFF00"/>
      <rgbColor rgb="FF00FFFF"/>
      <rgbColor rgb="FF800080"/>
      <rgbColor rgb="FF800000"/>
      <rgbColor rgb="FF008080"/>
      <rgbColor rgb="FF0000FF"/>
      <rgbColor rgb="FF00CCFF"/>
      <rgbColor rgb="FFCCFFFF"/>
      <rgbColor rgb="FFE3E9D8"/>
      <rgbColor rgb="FFFBEFD4"/>
      <rgbColor rgb="FF99CCFF"/>
      <rgbColor rgb="FFFF99CC"/>
      <rgbColor rgb="FFCC99FF"/>
      <rgbColor rgb="FFF3DDD6"/>
      <rgbColor rgb="FF3366FF"/>
      <rgbColor rgb="FF33CCCC"/>
      <rgbColor rgb="FF99CC00"/>
      <rgbColor rgb="FFFFCC00"/>
      <rgbColor rgb="FFFF9900"/>
      <rgbColor rgb="FFFF6600"/>
      <rgbColor rgb="FF6B6F4E"/>
      <rgbColor rgb="FF969696"/>
      <rgbColor rgb="FF003366"/>
      <rgbColor rgb="FF339966"/>
      <rgbColor rgb="FF003300"/>
      <rgbColor rgb="FF221E19"/>
      <rgbColor rgb="FF8C3A2F"/>
      <rgbColor rgb="FF993366"/>
      <rgbColor rgb="FF1F497D"/>
      <rgbColor rgb="FF4F5A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21E19"/>
    <pageSetUpPr fitToPage="false"/>
  </sheetPr>
  <dimension ref="B2:C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95"/>
  </cols>
  <sheetData>
    <row r="2" customFormat="false" ht="21.75" hidden="false" customHeight="true" outlineLevel="0" collapsed="false">
      <c r="B2" s="2" t="s">
        <v>0</v>
      </c>
    </row>
    <row r="3" customFormat="false" ht="15" hidden="false" customHeight="true" outlineLevel="0" collapsed="false">
      <c r="B3" s="3" t="s">
        <v>1</v>
      </c>
    </row>
    <row r="5" customFormat="false" ht="43.5" hidden="false" customHeight="true" outlineLevel="0" collapsed="false">
      <c r="B5" s="4" t="s">
        <v>2</v>
      </c>
      <c r="C5" s="5" t="s">
        <v>3</v>
      </c>
    </row>
    <row r="7" customFormat="false" ht="30" hidden="false" customHeight="true" outlineLevel="0" collapsed="false">
      <c r="B7" s="4" t="s">
        <v>4</v>
      </c>
      <c r="C7" s="5" t="s">
        <v>5</v>
      </c>
    </row>
    <row r="8" customFormat="false" ht="30" hidden="false" customHeight="true" outlineLevel="0" collapsed="false">
      <c r="C8" s="5" t="s">
        <v>6</v>
      </c>
    </row>
    <row r="9" customFormat="false" ht="30" hidden="false" customHeight="true" outlineLevel="0" collapsed="false">
      <c r="C9" s="5" t="s">
        <v>7</v>
      </c>
    </row>
    <row r="10" customFormat="false" ht="30" hidden="false" customHeight="true" outlineLevel="0" collapsed="false">
      <c r="C10" s="5" t="s">
        <v>8</v>
      </c>
    </row>
    <row r="12" customFormat="false" ht="30" hidden="false" customHeight="true" outlineLevel="0" collapsed="false">
      <c r="B12" s="4" t="s">
        <v>9</v>
      </c>
      <c r="C12" s="6" t="s">
        <v>10</v>
      </c>
    </row>
    <row r="14" customFormat="false" ht="30" hidden="false" customHeight="true" outlineLevel="0" collapsed="false">
      <c r="B14" s="4" t="s">
        <v>11</v>
      </c>
      <c r="C14" s="6" t="s">
        <v>12</v>
      </c>
    </row>
    <row r="16" customFormat="false" ht="30" hidden="false" customHeight="true" outlineLevel="0" collapsed="false">
      <c r="B16" s="4" t="s">
        <v>13</v>
      </c>
      <c r="C16" s="6" t="s">
        <v>14</v>
      </c>
    </row>
    <row r="18" customFormat="false" ht="43.5" hidden="false" customHeight="true" outlineLevel="0" collapsed="false">
      <c r="B18" s="4" t="s">
        <v>15</v>
      </c>
      <c r="C18" s="6" t="s">
        <v>16</v>
      </c>
    </row>
    <row r="20" customFormat="false" ht="23.25" hidden="false" customHeight="true" outlineLevel="0" collapsed="false">
      <c r="C20" s="6"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6B4B"/>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54"/>
    <col collapsed="false" customWidth="true" hidden="false" outlineLevel="0" max="4" min="4" style="1" width="12"/>
    <col collapsed="false" customWidth="true" hidden="false" outlineLevel="0" max="5" min="5" style="1" width="52"/>
  </cols>
  <sheetData>
    <row r="1" customFormat="false" ht="18" hidden="false" customHeight="true" outlineLevel="0" collapsed="false">
      <c r="A1" s="7" t="s">
        <v>18</v>
      </c>
    </row>
    <row r="2" customFormat="false" ht="15" hidden="false" customHeight="true" outlineLevel="0" collapsed="false">
      <c r="A2" s="8" t="s">
        <v>19</v>
      </c>
    </row>
    <row r="4" customFormat="false" ht="15" hidden="false" customHeight="true" outlineLevel="0" collapsed="false">
      <c r="B4" s="4" t="s">
        <v>20</v>
      </c>
    </row>
    <row r="5" customFormat="false" ht="15" hidden="false" customHeight="true" outlineLevel="0" collapsed="false">
      <c r="B5" s="9" t="s">
        <v>21</v>
      </c>
      <c r="C5" s="10" t="s">
        <v>22</v>
      </c>
    </row>
    <row r="6" customFormat="false" ht="15" hidden="false" customHeight="true" outlineLevel="0" collapsed="false">
      <c r="B6" s="9" t="s">
        <v>23</v>
      </c>
      <c r="C6" s="10" t="s">
        <v>24</v>
      </c>
    </row>
    <row r="7" customFormat="false" ht="15" hidden="false" customHeight="true" outlineLevel="0" collapsed="false">
      <c r="B7" s="9" t="s">
        <v>25</v>
      </c>
      <c r="C7" s="10" t="s">
        <v>26</v>
      </c>
    </row>
    <row r="9" customFormat="false" ht="15" hidden="false" customHeight="true" outlineLevel="0" collapsed="false">
      <c r="B9" s="4" t="s">
        <v>27</v>
      </c>
    </row>
    <row r="10" customFormat="false" ht="15" hidden="false" customHeight="true" outlineLevel="0" collapsed="false">
      <c r="B10" s="11" t="s">
        <v>28</v>
      </c>
      <c r="C10" s="11" t="s">
        <v>29</v>
      </c>
      <c r="D10" s="11" t="s">
        <v>30</v>
      </c>
      <c r="E10" s="11" t="s">
        <v>31</v>
      </c>
    </row>
    <row r="11" customFormat="false" ht="27.75" hidden="false" customHeight="true" outlineLevel="0" collapsed="false">
      <c r="B11" s="12" t="s">
        <v>32</v>
      </c>
      <c r="C11" s="6" t="s">
        <v>33</v>
      </c>
      <c r="D11" s="13" t="str">
        <f aca="false">'S1 Discover'!H2</f>
        <v>HOLD</v>
      </c>
      <c r="E11" s="14" t="str">
        <f aca="false">'S1 Discover'!I2</f>
        <v>Fit score 9/10 · AGENT CANDIDATE</v>
      </c>
    </row>
    <row r="12" customFormat="false" ht="27.75" hidden="false" customHeight="true" outlineLevel="0" collapsed="false">
      <c r="B12" s="12" t="s">
        <v>34</v>
      </c>
      <c r="C12" s="6" t="s">
        <v>35</v>
      </c>
      <c r="D12" s="13" t="str">
        <f aca="false">'S2 Define'!H2</f>
        <v>HOLD</v>
      </c>
      <c r="E12" s="14" t="str">
        <f aca="false">'S2 Define'!I2</f>
        <v>1 of 5 sampled ACs complete · 4 threshold(s) unsigned</v>
      </c>
    </row>
    <row r="13" customFormat="false" ht="27.75" hidden="false" customHeight="true" outlineLevel="0" collapsed="false">
      <c r="B13" s="12" t="s">
        <v>36</v>
      </c>
      <c r="C13" s="6" t="s">
        <v>37</v>
      </c>
      <c r="D13" s="13" t="str">
        <f aca="false">'S3 Design'!H2</f>
        <v>PASS</v>
      </c>
      <c r="E13" s="14" t="str">
        <f aca="false">'S3 Design'!I2</f>
        <v>0 write action(s) undefined · 5/5 conversations held</v>
      </c>
    </row>
    <row r="14" customFormat="false" ht="27.75" hidden="false" customHeight="true" outlineLevel="0" collapsed="false">
      <c r="B14" s="12" t="s">
        <v>38</v>
      </c>
      <c r="C14" s="6" t="s">
        <v>39</v>
      </c>
      <c r="D14" s="13" t="str">
        <f aca="false">'S4 Build'!H2</f>
        <v>HOLD</v>
      </c>
      <c r="E14" s="14" t="str">
        <f aca="false">'S4 Build'!I2</f>
        <v>3 blocking decision(s) under-slacked · 0/3 fallbacks designed</v>
      </c>
    </row>
    <row r="15" customFormat="false" ht="27.75" hidden="false" customHeight="true" outlineLevel="0" collapsed="false">
      <c r="B15" s="12" t="s">
        <v>40</v>
      </c>
      <c r="C15" s="6" t="s">
        <v>41</v>
      </c>
      <c r="D15" s="13" t="str">
        <f aca="false">'S5 Launch'!H2</f>
        <v>HOLD</v>
      </c>
      <c r="E15" s="14" t="str">
        <f aca="false">'S5 Launch'!I2</f>
        <v>19% ready · 11 mandatory item(s) open</v>
      </c>
    </row>
    <row r="16" customFormat="false" ht="27.75" hidden="false" customHeight="true" outlineLevel="0" collapsed="false">
      <c r="B16" s="12" t="s">
        <v>42</v>
      </c>
      <c r="C16" s="6" t="s">
        <v>43</v>
      </c>
      <c r="D16" s="13" t="str">
        <f aca="false">'S6 Operate'!H2</f>
        <v>PASS</v>
      </c>
      <c r="E16" s="14" t="str">
        <f aca="false">'S6 Operate'!I2</f>
        <v>Containment 85.1% · cost/success $29.091 · suite grew</v>
      </c>
    </row>
    <row r="18" customFormat="false" ht="15" hidden="false" customHeight="true" outlineLevel="0" collapsed="false">
      <c r="B18" s="4" t="s">
        <v>44</v>
      </c>
    </row>
    <row r="19" customFormat="false" ht="15" hidden="false" customHeight="true" outlineLevel="0" collapsed="false">
      <c r="B19" s="9" t="s">
        <v>45</v>
      </c>
      <c r="C19" s="13" t="str">
        <f aca="false">COUNTIF(D11:D16,"PASS")&amp;" / 6"</f>
        <v>2 / 6</v>
      </c>
    </row>
    <row r="20" customFormat="false" ht="25.5" hidden="false" customHeight="true" outlineLevel="0" collapsed="false">
      <c r="B20" s="9" t="s">
        <v>46</v>
      </c>
      <c r="C20" s="13" t="str">
        <f aca="false">IFERROR("Stage "&amp;INDEX(B11:B16,MATCH("HOLD",D11:D16,0))&amp;" — clear its gate first","All six gates passed — the operate-and-improve cadence is now the job")</f>
        <v>Stage 1 · Discover &amp; qualify — clear its gate first</v>
      </c>
      <c r="D20" s="13"/>
      <c r="E20" s="13"/>
    </row>
    <row r="22" customFormat="false" ht="15" hidden="false" customHeight="true" outlineLevel="0" collapsed="false">
      <c r="B22" s="15" t="s">
        <v>47</v>
      </c>
      <c r="C22" s="16" t="s">
        <v>48</v>
      </c>
      <c r="D22" s="16"/>
      <c r="E22" s="16"/>
    </row>
  </sheetData>
  <mergeCells count="2">
    <mergeCell ref="C20:E20"/>
    <mergeCell ref="C22:E22"/>
  </mergeCells>
  <conditionalFormatting sqref="D11:D16">
    <cfRule type="expression" priority="2" aboveAverage="0" equalAverage="0" bottom="0" percent="0" rank="0" text="" dxfId="0">
      <formula>ISNUMBER(SEARCH("NO-GO",D11))</formula>
    </cfRule>
    <cfRule type="expression" priority="3" aboveAverage="0" equalAverage="0" bottom="0" percent="0" rank="0" text="" dxfId="0">
      <formula>ISNUMBER(SEARCH("HOLD",D11))</formula>
    </cfRule>
    <cfRule type="expression" priority="4" aboveAverage="0" equalAverage="0" bottom="0" percent="0" rank="0" text="" dxfId="0">
      <formula>ISNUMBER(SEARCH("KILL",D11))</formula>
    </cfRule>
    <cfRule type="expression" priority="5" aboveAverage="0" equalAverage="0" bottom="0" percent="0" rank="0" text="" dxfId="0">
      <formula>ISNUMBER(SEARCH("BLOCKED",D11))</formula>
    </cfRule>
    <cfRule type="expression" priority="6" aboveAverage="0" equalAverage="0" bottom="0" percent="0" rank="0" text="" dxfId="0">
      <formula>ISNUMBER(SEARCH("INVALID",D11))</formula>
    </cfRule>
    <cfRule type="expression" priority="7" aboveAverage="0" equalAverage="0" bottom="0" percent="0" rank="0" text="" dxfId="0">
      <formula>ISNUMBER(SEARCH("VIOLATION",D11))</formula>
    </cfRule>
    <cfRule type="expression" priority="8" aboveAverage="0" equalAverage="0" bottom="0" percent="0" rank="0" text="" dxfId="0">
      <formula>ISNUMBER(SEARCH("UNDER-SLACKED",D11))</formula>
    </cfRule>
    <cfRule type="expression" priority="9" aboveAverage="0" equalAverage="0" bottom="0" percent="0" rank="0" text="" dxfId="0">
      <formula>ISNUMBER(SEARCH("NOT YET",D11))</formula>
    </cfRule>
    <cfRule type="expression" priority="10" aboveAverage="0" equalAverage="0" bottom="0" percent="0" rank="0" text="" dxfId="0">
      <formula>ISNUMBER(SEARCH("HALF",D11))</formula>
    </cfRule>
    <cfRule type="expression" priority="11" aboveAverage="0" equalAverage="0" bottom="0" percent="0" rank="0" text="" dxfId="0">
      <formula>ISNUMBER(SEARCH("INCOMPLETE",D11))</formula>
    </cfRule>
    <cfRule type="expression" priority="12" aboveAverage="0" equalAverage="0" bottom="0" percent="0" rank="0" text="" dxfId="0">
      <formula>ISNUMBER(SEARCH("ALERT",D11))</formula>
    </cfRule>
    <cfRule type="expression" priority="13" aboveAverage="0" equalAverage="0" bottom="0" percent="0" rank="0" text="" dxfId="0">
      <formula>ISNUMBER(SEARCH("BELOW",D11))</formula>
    </cfRule>
    <cfRule type="expression" priority="14" aboveAverage="0" equalAverage="0" bottom="0" percent="0" rank="0" text="" dxfId="0">
      <formula>ISNUMBER(SEARCH("FAIL",D11))</formula>
    </cfRule>
    <cfRule type="expression" priority="15" aboveAverage="0" equalAverage="0" bottom="0" percent="0" rank="0" text="" dxfId="0">
      <formula>ISNUMBER(SEARCH("STAGNANT",D11))</formula>
    </cfRule>
    <cfRule type="expression" priority="16" aboveAverage="0" equalAverage="0" bottom="0" percent="0" rank="0" text="" dxfId="0">
      <formula>ISNUMBER(SEARCH("MISSING",D11))</formula>
    </cfRule>
    <cfRule type="expression" priority="17" aboveAverage="0" equalAverage="0" bottom="0" percent="0" rank="0" text="" dxfId="0">
      <formula>ISNUMBER(SEARCH("PLANTED",D11))</formula>
    </cfRule>
    <cfRule type="expression" priority="18" aboveAverage="0" equalAverage="0" bottom="0" percent="0" rank="0" text="" dxfId="0">
      <formula>ISNUMBER(SEARCH("WRITE WITHOUT",D11))</formula>
    </cfRule>
    <cfRule type="expression" priority="19" aboveAverage="0" equalAverage="0" bottom="0" percent="0" rank="0" text="" dxfId="0">
      <formula>ISNUMBER(SEARCH("CHALLENGE",D11))</formula>
    </cfRule>
    <cfRule type="expression" priority="20" aboveAverage="0" equalAverage="0" bottom="0" percent="0" rank="0" text="" dxfId="0">
      <formula>ISNUMBER(SEARCH("NOT STARTED",D11))</formula>
    </cfRule>
    <cfRule type="expression" priority="21" aboveAverage="0" equalAverage="0" bottom="0" percent="0" rank="0" text="" dxfId="0">
      <formula>ISNUMBER(SEARCH("DISCUSS",D11))</formula>
    </cfRule>
    <cfRule type="expression" priority="22" aboveAverage="0" equalAverage="0" bottom="0" percent="0" rank="0" text="" dxfId="0">
      <formula>ISNUMBER(SEARCH("UNSIGNED",D11))</formula>
    </cfRule>
    <cfRule type="expression" priority="23" aboveAverage="0" equalAverage="0" bottom="0" percent="0" rank="0" text="" dxfId="0">
      <formula>ISNUMBER(SEARCH("FALSE ALARM",D11))</formula>
    </cfRule>
    <cfRule type="expression" priority="24" aboveAverage="0" equalAverage="0" bottom="0" percent="0" rank="0" text="" dxfId="0">
      <formula>ISNUMBER(SEARCH("MISSED",D11))</formula>
    </cfRule>
    <cfRule type="expression" priority="25" aboveAverage="0" equalAverage="0" bottom="0" percent="0" rank="0" text="" dxfId="0">
      <formula>ISNUMBER(SEARCH("COSTUME",D11))</formula>
    </cfRule>
    <cfRule type="expression" priority="26" aboveAverage="0" equalAverage="0" bottom="0" percent="0" rank="0" text="" dxfId="0">
      <formula>ISNUMBER(SEARCH("PROMISE WITHOUT",D11))</formula>
    </cfRule>
    <cfRule type="expression" priority="27" aboveAverage="0" equalAverage="0" bottom="0" percent="0" rank="0" text="" dxfId="1">
      <formula>ISNUMBER(SEARCH("BORDERLINE",D11))</formula>
    </cfRule>
    <cfRule type="expression" priority="28" aboveAverage="0" equalAverage="0" bottom="0" percent="0" rank="0" text="" dxfId="1">
      <formula>ISNUMBER(SEARCH("WORKFLOW",D11))</formula>
    </cfRule>
    <cfRule type="expression" priority="29" aboveAverage="0" equalAverage="0" bottom="0" percent="0" rank="0" text="" dxfId="1">
      <formula>ISNUMBER(SEARCH("PENDING",D11))</formula>
    </cfRule>
    <cfRule type="expression" priority="30" aboveAverage="0" equalAverage="0" bottom="0" percent="0" rank="0" text="" dxfId="1">
      <formula>ISNUMBER(SEARCH("ADVISORY",D11))</formula>
    </cfRule>
    <cfRule type="expression" priority="31" aboveAverage="0" equalAverage="0" bottom="0" percent="0" rank="0" text="" dxfId="1">
      <formula>ISNUMBER(SEARCH("ABOVE",D11))</formula>
    </cfRule>
    <cfRule type="expression" priority="32" aboveAverage="0" equalAverage="0" bottom="0" percent="0" rank="0" text="" dxfId="1">
      <formula>ISNUMBER(SEARCH("TUNE",D11))</formula>
    </cfRule>
    <cfRule type="expression" priority="33" aboveAverage="0" equalAverage="0" bottom="0" percent="0" rank="0" text="" dxfId="1">
      <formula>ISNUMBER(SEARCH("REVIEW",D11))</formula>
    </cfRule>
    <cfRule type="expression" priority="34" aboveAverage="0" equalAverage="0" bottom="0" percent="0" rank="0" text="" dxfId="1">
      <formula>ISNUMBER(SEARCH("DECIDE",D11))</formula>
    </cfRule>
    <cfRule type="expression" priority="35" aboveAverage="0" equalAverage="0" bottom="0" percent="0" rank="0" text="" dxfId="1">
      <formula>ISNUMBER(SEARCH("IN PROGRESS",D11))</formula>
    </cfRule>
    <cfRule type="expression" priority="36" aboveAverage="0" equalAverage="0" bottom="0" percent="0" rank="0" text="" dxfId="1">
      <formula>ISNUMBER(SEARCH("PARTIAL",D11))</formula>
    </cfRule>
    <cfRule type="expression" priority="37" aboveAverage="0" equalAverage="0" bottom="0" percent="0" rank="0" text="" dxfId="1">
      <formula>ISNUMBER(SEARCH("NO DATA",D11))</formula>
    </cfRule>
    <cfRule type="expression" priority="38" aboveAverage="0" equalAverage="0" bottom="0" percent="0" rank="0" text="" dxfId="1">
      <formula>ISNUMBER(SEARCH("NOT RUN",D11))</formula>
    </cfRule>
    <cfRule type="expression" priority="39" aboveAverage="0" equalAverage="0" bottom="0" percent="0" rank="0" text="" dxfId="1">
      <formula>ISNUMBER(SEARCH("EVALUATE",D11))</formula>
    </cfRule>
    <cfRule type="expression" priority="40" aboveAverage="0" equalAverage="0" bottom="0" percent="0" rank="0" text="" dxfId="1">
      <formula>ISNUMBER(SEARCH("TIGHTEN",D11))</formula>
    </cfRule>
    <cfRule type="expression" priority="41" aboveAverage="0" equalAverage="0" bottom="0" percent="0" rank="0" text="" dxfId="1">
      <formula>ISNUMBER(SEARCH("LOOSEN",D11))</formula>
    </cfRule>
    <cfRule type="expression" priority="42" aboveAverage="0" equalAverage="0" bottom="0" percent="0" rank="0" text="" dxfId="1">
      <formula>ISNUMBER(SEARCH("WEAK",D11))</formula>
    </cfRule>
    <cfRule type="expression" priority="43" aboveAverage="0" equalAverage="0" bottom="0" percent="0" rank="0" text="" dxfId="1">
      <formula>ISNUMBER(SEARCH("ADJACENT",D11))</formula>
    </cfRule>
    <cfRule type="expression" priority="44" aboveAverage="0" equalAverage="0" bottom="0" percent="0" rank="0" text="" dxfId="1">
      <formula>ISNUMBER(SEARCH("GAPS",D11))</formula>
    </cfRule>
    <cfRule type="expression" priority="45" aboveAverage="0" equalAverage="0" bottom="0" percent="0" rank="0" text="" dxfId="1">
      <formula>ISNUMBER(SEARCH("ADD ONE",D11))</formula>
    </cfRule>
    <cfRule type="expression" priority="46" aboveAverage="0" equalAverage="0" bottom="0" percent="0" rank="0" text="" dxfId="1">
      <formula>ISNUMBER(SEARCH("⚠",D11))</formula>
    </cfRule>
    <cfRule type="expression" priority="47" aboveAverage="0" equalAverage="0" bottom="0" percent="0" rank="0" text="" dxfId="2">
      <formula>ISNUMBER(SEARCH("PASS",D11))</formula>
    </cfRule>
    <cfRule type="expression" priority="48" aboveAverage="0" equalAverage="0" bottom="0" percent="0" rank="0" text="" dxfId="2">
      <formula>ISNUMBER(SEARCH("GO",D11))</formula>
    </cfRule>
    <cfRule type="expression" priority="49" aboveAverage="0" equalAverage="0" bottom="0" percent="0" rank="0" text="" dxfId="2">
      <formula>ISNUMBER(SEARCH("BUILD",D11))</formula>
    </cfRule>
    <cfRule type="expression" priority="50" aboveAverage="0" equalAverage="0" bottom="0" percent="0" rank="0" text="" dxfId="2">
      <formula>ISNUMBER(SEARCH("COMPLETE",D11))</formula>
    </cfRule>
    <cfRule type="expression" priority="51" aboveAverage="0" equalAverage="0" bottom="0" percent="0" rank="0" text="" dxfId="2">
      <formula>ISNUMBER(SEARCH("ELIGIBLE",D11))</formula>
    </cfRule>
    <cfRule type="expression" priority="52" aboveAverage="0" equalAverage="0" bottom="0" percent="0" rank="0" text="" dxfId="2">
      <formula>ISNUMBER(SEARCH("SHIP",D11))</formula>
    </cfRule>
    <cfRule type="expression" priority="53" aboveAverage="0" equalAverage="0" bottom="0" percent="0" rank="0" text="" dxfId="2">
      <formula>ISNUMBER(SEARCH("ON TARGET",D11))</formula>
    </cfRule>
    <cfRule type="expression" priority="54" aboveAverage="0" equalAverage="0" bottom="0" percent="0" rank="0" text="" dxfId="2">
      <formula>ISNUMBER(SEARCH("ON TRACK",D11))</formula>
    </cfRule>
    <cfRule type="expression" priority="55" aboveAverage="0" equalAverage="0" bottom="0" percent="0" rank="0" text="" dxfId="2">
      <formula>ISNUMBER(SEARCH("RESOLVED",D11))</formula>
    </cfRule>
    <cfRule type="expression" priority="56" aboveAverage="0" equalAverage="0" bottom="0" percent="0" rank="0" text="" dxfId="2">
      <formula>ISNUMBER(SEARCH("OK",D11))</formula>
    </cfRule>
    <cfRule type="expression" priority="57" aboveAverage="0" equalAverage="0" bottom="0" percent="0" rank="0" text="" dxfId="2">
      <formula>ISNUMBER(SEARCH("MATCH",D11))</formula>
    </cfRule>
    <cfRule type="expression" priority="58" aboveAverage="0" equalAverage="0" bottom="0" percent="0" rank="0" text="" dxfId="2">
      <formula>ISNUMBER(SEARCH("SOUND",D11))</formula>
    </cfRule>
    <cfRule type="expression" priority="59" aboveAverage="0" equalAverage="0" bottom="0" percent="0" rank="0" text="" dxfId="2">
      <formula>ISNUMBER(SEARCH("WITHIN",D11))</formula>
    </cfRule>
    <cfRule type="expression" priority="60" aboveAverage="0" equalAverage="0" bottom="0" percent="0" rank="0" text="" dxfId="2">
      <formula>ISNUMBER(SEARCH("DONE",D11))</formula>
    </cfRule>
    <cfRule type="expression" priority="61" aboveAverage="0" equalAverage="0" bottom="0" percent="0" rank="0" text="" dxfId="2">
      <formula>ISNUMBER(SEARCH("SIGNED",D11))</formula>
    </cfRule>
    <cfRule type="expression" priority="62" aboveAverage="0" equalAverage="0" bottom="0" percent="0" rank="0" text="" dxfId="2">
      <formula>ISNUMBER(SEARCH("✓",D11))</formula>
    </cfRule>
    <cfRule type="expression" priority="63" aboveAverage="0" equalAverage="0" bottom="0" percent="0" rank="0" text="" dxfId="2">
      <formula>ISNUMBER(SEARCH("KEEP",D11))</formula>
    </cfRule>
    <cfRule type="expression" priority="64" aboveAverage="0" equalAverage="0" bottom="0" percent="0" rank="0" text="" dxfId="2">
      <formula>ISNUMBER(SEARCH("DEV-READY",D11))</formula>
    </cfRule>
    <cfRule type="expression" priority="65" aboveAverage="0" equalAverage="0" bottom="0" percent="0" rank="0" text="" dxfId="2">
      <formula>ISNUMBER(SEARCH("GREW",D11))</formula>
    </cfRule>
    <cfRule type="expression" priority="66" aboveAverage="0" equalAverage="0" bottom="0" percent="0" rank="0" text="" dxfId="2">
      <formula>ISNUMBER(SEARCH("HIT",D11))</formula>
    </cfRule>
    <cfRule type="expression" priority="67" aboveAverage="0" equalAverage="0" bottom="0" percent="0" rank="0" text="" dxfId="2">
      <formula>ISNUMBER(SEARCH("CORRECT",D11))</formula>
    </cfRule>
    <cfRule type="expression" priority="68" aboveAverage="0" equalAverage="0" bottom="0" percent="0" rank="0" text="" dxfId="2">
      <formula>ISNUMBER(SEARCH("STAY",D11))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F4E"/>
    <pageSetUpPr fitToPage="fals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6"/>
    <col collapsed="false" customWidth="true" hidden="false" outlineLevel="0" max="3" min="3" style="1" width="50"/>
    <col collapsed="false" customWidth="true" hidden="false" outlineLevel="0" max="4" min="4" style="1" width="12"/>
    <col collapsed="false" customWidth="true" hidden="false" outlineLevel="0" max="5" min="5" style="1" width="30"/>
    <col collapsed="false" customWidth="true" hidden="false" outlineLevel="0" max="7" min="6" style="1" width="12"/>
    <col collapsed="false" customWidth="true" hidden="false" outlineLevel="0" max="8" min="8" style="1" width="26"/>
    <col collapsed="false" customWidth="true" hidden="false" outlineLevel="0" max="9" min="9" style="1" width="34"/>
  </cols>
  <sheetData>
    <row r="1" customFormat="false" ht="18" hidden="false" customHeight="true" outlineLevel="0" collapsed="false">
      <c r="A1" s="7" t="s">
        <v>49</v>
      </c>
    </row>
    <row r="2" customFormat="false" ht="15" hidden="false" customHeight="true" outlineLevel="0" collapsed="false">
      <c r="A2" s="8" t="s">
        <v>50</v>
      </c>
      <c r="G2" s="15" t="s">
        <v>51</v>
      </c>
      <c r="H2" s="13" t="str">
        <f aca="false">IF(COUNTIF(D33:D37,"YES")=5,"PASS","HOLD")</f>
        <v>HOLD</v>
      </c>
      <c r="I2" s="14" t="str">
        <f aca="false">"Fit score "&amp;D11&amp;"/10 · "&amp;E11</f>
        <v>Fit score 9/10 · AGENT CANDIDATE</v>
      </c>
    </row>
    <row r="4" customFormat="false" ht="15" hidden="false" customHeight="true" outlineLevel="0" collapsed="false">
      <c r="B4" s="4" t="s">
        <v>52</v>
      </c>
    </row>
    <row r="5" customFormat="false" ht="15" hidden="false" customHeight="true" outlineLevel="0" collapsed="false">
      <c r="B5" s="11" t="s">
        <v>53</v>
      </c>
      <c r="C5" s="11" t="s">
        <v>54</v>
      </c>
      <c r="D5" s="11" t="s">
        <v>55</v>
      </c>
      <c r="E5" s="11" t="s">
        <v>56</v>
      </c>
    </row>
    <row r="6" customFormat="false" ht="27" hidden="false" customHeight="true" outlineLevel="0" collapsed="false">
      <c r="B6" s="12" t="s">
        <v>57</v>
      </c>
      <c r="C6" s="17" t="s">
        <v>58</v>
      </c>
      <c r="D6" s="10" t="n">
        <v>2</v>
      </c>
      <c r="E6" s="10" t="s">
        <v>59</v>
      </c>
    </row>
    <row r="7" customFormat="false" ht="27" hidden="false" customHeight="true" outlineLevel="0" collapsed="false">
      <c r="B7" s="12" t="s">
        <v>60</v>
      </c>
      <c r="C7" s="17" t="s">
        <v>61</v>
      </c>
      <c r="D7" s="10" t="n">
        <v>2</v>
      </c>
      <c r="E7" s="10" t="s">
        <v>62</v>
      </c>
    </row>
    <row r="8" customFormat="false" ht="27" hidden="false" customHeight="true" outlineLevel="0" collapsed="false">
      <c r="B8" s="12" t="s">
        <v>63</v>
      </c>
      <c r="C8" s="17" t="s">
        <v>64</v>
      </c>
      <c r="D8" s="10" t="n">
        <v>2</v>
      </c>
      <c r="E8" s="10" t="s">
        <v>65</v>
      </c>
    </row>
    <row r="9" customFormat="false" ht="27" hidden="false" customHeight="true" outlineLevel="0" collapsed="false">
      <c r="B9" s="12" t="s">
        <v>66</v>
      </c>
      <c r="C9" s="17" t="s">
        <v>67</v>
      </c>
      <c r="D9" s="10" t="n">
        <v>1</v>
      </c>
      <c r="E9" s="10" t="s">
        <v>68</v>
      </c>
    </row>
    <row r="10" customFormat="false" ht="27" hidden="false" customHeight="true" outlineLevel="0" collapsed="false">
      <c r="B10" s="12" t="s">
        <v>69</v>
      </c>
      <c r="C10" s="17" t="s">
        <v>70</v>
      </c>
      <c r="D10" s="10" t="n">
        <v>2</v>
      </c>
      <c r="E10" s="10" t="s">
        <v>71</v>
      </c>
    </row>
    <row r="11" customFormat="false" ht="15" hidden="false" customHeight="true" outlineLevel="0" collapsed="false">
      <c r="B11" s="12" t="s">
        <v>72</v>
      </c>
      <c r="D11" s="13" t="n">
        <f aca="false">SUM(D6:D10)</f>
        <v>9</v>
      </c>
      <c r="E11" s="13" t="str">
        <f aca="false">IF(D11&gt;=8,"AGENT CANDIDATE",IF(D11&gt;=6,"BORDERLINE — PROBE FIRST","WORKFLOW OR KILL"))</f>
        <v>AGENT CANDIDATE</v>
      </c>
    </row>
    <row r="13" customFormat="false" ht="15" hidden="false" customHeight="true" outlineLevel="0" collapsed="false">
      <c r="B13" s="4" t="s">
        <v>73</v>
      </c>
    </row>
    <row r="14" customFormat="false" ht="15" hidden="false" customHeight="true" outlineLevel="0" collapsed="false">
      <c r="B14" s="11" t="s">
        <v>74</v>
      </c>
      <c r="C14" s="11" t="s">
        <v>75</v>
      </c>
      <c r="D14" s="11" t="s">
        <v>76</v>
      </c>
      <c r="E14" s="11" t="s">
        <v>77</v>
      </c>
    </row>
    <row r="15" customFormat="false" ht="15" hidden="false" customHeight="true" outlineLevel="0" collapsed="false">
      <c r="B15" s="10" t="s">
        <v>78</v>
      </c>
      <c r="C15" s="10" t="s">
        <v>79</v>
      </c>
      <c r="D15" s="10" t="s">
        <v>80</v>
      </c>
      <c r="E15" s="13" t="str">
        <f aca="false">IF(AND(C15="YES",D15="Model decides"),"RED-ZONE VIOLATION — redesign","OK")</f>
        <v>OK</v>
      </c>
    </row>
    <row r="16" customFormat="false" ht="15" hidden="false" customHeight="true" outlineLevel="0" collapsed="false">
      <c r="B16" s="10" t="s">
        <v>81</v>
      </c>
      <c r="C16" s="10" t="s">
        <v>79</v>
      </c>
      <c r="D16" s="10" t="s">
        <v>80</v>
      </c>
      <c r="E16" s="13" t="str">
        <f aca="false">IF(AND(C16="YES",D16="Model decides"),"RED-ZONE VIOLATION — redesign","OK")</f>
        <v>OK</v>
      </c>
    </row>
    <row r="17" customFormat="false" ht="15" hidden="false" customHeight="true" outlineLevel="0" collapsed="false">
      <c r="B17" s="10" t="s">
        <v>82</v>
      </c>
      <c r="C17" s="10" t="s">
        <v>79</v>
      </c>
      <c r="D17" s="10" t="s">
        <v>80</v>
      </c>
      <c r="E17" s="13" t="str">
        <f aca="false">IF(AND(C17="YES",D17="Model decides"),"RED-ZONE VIOLATION — redesign","OK")</f>
        <v>OK</v>
      </c>
    </row>
    <row r="18" customFormat="false" ht="23.25" hidden="false" customHeight="true" outlineLevel="0" collapsed="false">
      <c r="B18" s="10" t="s">
        <v>83</v>
      </c>
      <c r="C18" s="10" t="s">
        <v>79</v>
      </c>
      <c r="D18" s="10" t="s">
        <v>84</v>
      </c>
      <c r="E18" s="13" t="str">
        <f aca="false">IF(AND(C18="YES",D18="Model decides"),"RED-ZONE VIOLATION — redesign","OK")</f>
        <v>OK</v>
      </c>
    </row>
    <row r="19" customFormat="false" ht="15" hidden="false" customHeight="true" outlineLevel="0" collapsed="false">
      <c r="B19" s="10" t="s">
        <v>85</v>
      </c>
      <c r="C19" s="10" t="s">
        <v>86</v>
      </c>
      <c r="D19" s="10" t="s">
        <v>87</v>
      </c>
      <c r="E19" s="13" t="str">
        <f aca="false">IF(AND(C19="YES",D19="Model decides"),"RED-ZONE VIOLATION — redesign","OK")</f>
        <v>OK</v>
      </c>
    </row>
    <row r="20" customFormat="false" ht="23.25" hidden="false" customHeight="true" outlineLevel="0" collapsed="false">
      <c r="B20" s="10" t="s">
        <v>88</v>
      </c>
      <c r="C20" s="10" t="s">
        <v>86</v>
      </c>
      <c r="D20" s="10" t="s">
        <v>84</v>
      </c>
      <c r="E20" s="13" t="str">
        <f aca="false">IF(AND(C20="YES",D20="Model decides"),"RED-ZONE VIOLATION — redesign","OK")</f>
        <v>OK</v>
      </c>
    </row>
    <row r="22" customFormat="false" ht="15" hidden="false" customHeight="true" outlineLevel="0" collapsed="false">
      <c r="B22" s="4" t="s">
        <v>89</v>
      </c>
    </row>
    <row r="23" customFormat="false" ht="15" hidden="false" customHeight="true" outlineLevel="0" collapsed="false">
      <c r="B23" s="11" t="s">
        <v>90</v>
      </c>
      <c r="C23" s="11" t="s">
        <v>91</v>
      </c>
      <c r="D23" s="11" t="s">
        <v>92</v>
      </c>
      <c r="E23" s="11" t="s">
        <v>93</v>
      </c>
      <c r="F23" s="11" t="s">
        <v>94</v>
      </c>
      <c r="G23" s="11" t="s">
        <v>95</v>
      </c>
      <c r="H23" s="11" t="s">
        <v>96</v>
      </c>
      <c r="I23" s="11" t="s">
        <v>77</v>
      </c>
    </row>
    <row r="24" customFormat="false" ht="27" hidden="false" customHeight="true" outlineLevel="0" collapsed="false">
      <c r="B24" s="10" t="s">
        <v>97</v>
      </c>
      <c r="C24" s="10" t="s">
        <v>98</v>
      </c>
      <c r="D24" s="10" t="n">
        <v>0</v>
      </c>
      <c r="E24" s="10" t="n">
        <v>0</v>
      </c>
      <c r="F24" s="18" t="str">
        <f aca="false">IF(D24&gt;0,E24/D24,"")</f>
        <v/>
      </c>
      <c r="G24" s="19" t="n">
        <v>0.85</v>
      </c>
      <c r="H24" s="14" t="str">
        <f aca="false">IF(D24&lt;25,"n&lt;25 — WEAK EVIDENCE","")</f>
        <v>n&lt;25 — WEAK EVIDENCE</v>
      </c>
      <c r="I24" s="13" t="str">
        <f aca="false">IF(OR(C24="Cherry-picked",C24="Synthetic"),"INVALID — RESAMPLE",IF(D24=0,"PENDING",IF(F24&gt;=G24,"BUILD",IF(F24&gt;=G24-0.1,"WORKFLOW THE VERIFIABLE PARTS","KILL THE AUTONOMOUS VERSION"))))</f>
        <v>PENDING</v>
      </c>
    </row>
    <row r="25" customFormat="false" ht="27" hidden="false" customHeight="true" outlineLevel="0" collapsed="false">
      <c r="B25" s="10" t="s">
        <v>99</v>
      </c>
      <c r="C25" s="10" t="s">
        <v>98</v>
      </c>
      <c r="D25" s="10" t="n">
        <v>0</v>
      </c>
      <c r="E25" s="10" t="n">
        <v>0</v>
      </c>
      <c r="F25" s="18" t="str">
        <f aca="false">IF(D25&gt;0,E25/D25,"")</f>
        <v/>
      </c>
      <c r="G25" s="19" t="n">
        <v>0.85</v>
      </c>
      <c r="H25" s="14" t="str">
        <f aca="false">IF(D25&lt;25,"n&lt;25 — WEAK EVIDENCE","")</f>
        <v>n&lt;25 — WEAK EVIDENCE</v>
      </c>
      <c r="I25" s="13" t="str">
        <f aca="false">IF(OR(C25="Cherry-picked",C25="Synthetic"),"INVALID — RESAMPLE",IF(D25=0,"PENDING",IF(F25&gt;=G25,"BUILD",IF(F25&gt;=G25-0.1,"WORKFLOW THE VERIFIABLE PARTS","KILL THE AUTONOMOUS VERSION"))))</f>
        <v>PENDING</v>
      </c>
    </row>
    <row r="26" customFormat="false" ht="27" hidden="false" customHeight="true" outlineLevel="0" collapsed="false">
      <c r="B26" s="10" t="s">
        <v>100</v>
      </c>
      <c r="C26" s="10" t="s">
        <v>98</v>
      </c>
      <c r="D26" s="10" t="n">
        <v>0</v>
      </c>
      <c r="E26" s="10" t="n">
        <v>0</v>
      </c>
      <c r="F26" s="18" t="str">
        <f aca="false">IF(D26&gt;0,E26/D26,"")</f>
        <v/>
      </c>
      <c r="G26" s="19" t="n">
        <v>0.7</v>
      </c>
      <c r="H26" s="14" t="str">
        <f aca="false">IF(D26&lt;25,"n&lt;25 — WEAK EVIDENCE","")</f>
        <v>n&lt;25 — WEAK EVIDENCE</v>
      </c>
      <c r="I26" s="13" t="str">
        <f aca="false">IF(OR(C26="Cherry-picked",C26="Synthetic"),"INVALID — RESAMPLE",IF(D26=0,"PENDING",IF(F26&gt;=G26,"BUILD",IF(F26&gt;=G26-0.1,"WORKFLOW THE VERIFIABLE PARTS","KILL THE AUTONOMOUS VERSION"))))</f>
        <v>PENDING</v>
      </c>
    </row>
    <row r="27" customFormat="false" ht="15" hidden="false" customHeight="true" outlineLevel="0" collapsed="false">
      <c r="B27" s="16" t="s">
        <v>101</v>
      </c>
      <c r="C27" s="16"/>
      <c r="D27" s="16"/>
      <c r="E27" s="16"/>
      <c r="F27" s="16"/>
      <c r="G27" s="16"/>
      <c r="H27" s="16"/>
      <c r="I27" s="16"/>
    </row>
    <row r="29" customFormat="false" ht="15" hidden="false" customHeight="true" outlineLevel="0" collapsed="false">
      <c r="B29" s="4" t="s">
        <v>102</v>
      </c>
    </row>
    <row r="30" customFormat="false" ht="15" hidden="false" customHeight="true" outlineLevel="0" collapsed="false">
      <c r="B30" s="12" t="s">
        <v>103</v>
      </c>
      <c r="D30" s="10" t="n">
        <v>11</v>
      </c>
      <c r="E30" s="12" t="s">
        <v>104</v>
      </c>
      <c r="F30" s="20" t="n">
        <v>30</v>
      </c>
    </row>
    <row r="31" customFormat="false" ht="15" hidden="false" customHeight="true" outlineLevel="0" collapsed="false">
      <c r="B31" s="12" t="s">
        <v>105</v>
      </c>
      <c r="D31" s="21" t="n">
        <f aca="false">D30/60*F30</f>
        <v>5.5</v>
      </c>
      <c r="E31" s="12" t="s">
        <v>106</v>
      </c>
      <c r="F31" s="22" t="n">
        <v>3000</v>
      </c>
    </row>
    <row r="32" customFormat="false" ht="15" hidden="false" customHeight="true" outlineLevel="0" collapsed="false">
      <c r="B32" s="12" t="s">
        <v>107</v>
      </c>
      <c r="D32" s="23" t="n">
        <f aca="false">D31*F31</f>
        <v>16500</v>
      </c>
    </row>
    <row r="33" customFormat="false" ht="23.25" hidden="false" customHeight="true" outlineLevel="0" collapsed="false">
      <c r="B33" s="4" t="s">
        <v>108</v>
      </c>
      <c r="C33" s="6" t="s">
        <v>109</v>
      </c>
      <c r="D33" s="24" t="s">
        <v>79</v>
      </c>
    </row>
    <row r="34" customFormat="false" ht="15" hidden="false" customHeight="true" outlineLevel="0" collapsed="false">
      <c r="C34" s="6" t="s">
        <v>110</v>
      </c>
      <c r="D34" s="24" t="s">
        <v>79</v>
      </c>
    </row>
    <row r="35" customFormat="false" ht="15" hidden="false" customHeight="true" outlineLevel="0" collapsed="false">
      <c r="C35" s="6" t="s">
        <v>111</v>
      </c>
      <c r="D35" s="24" t="s">
        <v>86</v>
      </c>
    </row>
    <row r="36" customFormat="false" ht="15" hidden="false" customHeight="true" outlineLevel="0" collapsed="false">
      <c r="C36" s="6" t="s">
        <v>112</v>
      </c>
      <c r="D36" s="24" t="s">
        <v>79</v>
      </c>
    </row>
    <row r="37" customFormat="false" ht="15" hidden="false" customHeight="true" outlineLevel="0" collapsed="false">
      <c r="C37" s="6" t="s">
        <v>113</v>
      </c>
      <c r="D37" s="24" t="s">
        <v>86</v>
      </c>
    </row>
  </sheetData>
  <mergeCells count="1">
    <mergeCell ref="B27:I27"/>
  </mergeCells>
  <conditionalFormatting sqref="H2">
    <cfRule type="expression" priority="2" aboveAverage="0" equalAverage="0" bottom="0" percent="0" rank="0" text="" dxfId="0">
      <formula>ISNUMBER(SEARCH("NO-GO",H2))</formula>
    </cfRule>
    <cfRule type="expression" priority="3" aboveAverage="0" equalAverage="0" bottom="0" percent="0" rank="0" text="" dxfId="0">
      <formula>ISNUMBER(SEARCH("HOLD",H2))</formula>
    </cfRule>
    <cfRule type="expression" priority="4" aboveAverage="0" equalAverage="0" bottom="0" percent="0" rank="0" text="" dxfId="0">
      <formula>ISNUMBER(SEARCH("KILL",H2))</formula>
    </cfRule>
    <cfRule type="expression" priority="5" aboveAverage="0" equalAverage="0" bottom="0" percent="0" rank="0" text="" dxfId="0">
      <formula>ISNUMBER(SEARCH("BLOCKED",H2))</formula>
    </cfRule>
    <cfRule type="expression" priority="6" aboveAverage="0" equalAverage="0" bottom="0" percent="0" rank="0" text="" dxfId="0">
      <formula>ISNUMBER(SEARCH("INVALID",H2))</formula>
    </cfRule>
    <cfRule type="expression" priority="7" aboveAverage="0" equalAverage="0" bottom="0" percent="0" rank="0" text="" dxfId="0">
      <formula>ISNUMBER(SEARCH("VIOLATION",H2))</formula>
    </cfRule>
    <cfRule type="expression" priority="8" aboveAverage="0" equalAverage="0" bottom="0" percent="0" rank="0" text="" dxfId="0">
      <formula>ISNUMBER(SEARCH("UNDER-SLACKED",H2))</formula>
    </cfRule>
    <cfRule type="expression" priority="9" aboveAverage="0" equalAverage="0" bottom="0" percent="0" rank="0" text="" dxfId="0">
      <formula>ISNUMBER(SEARCH("NOT YET",H2))</formula>
    </cfRule>
    <cfRule type="expression" priority="10" aboveAverage="0" equalAverage="0" bottom="0" percent="0" rank="0" text="" dxfId="0">
      <formula>ISNUMBER(SEARCH("HALF",H2))</formula>
    </cfRule>
    <cfRule type="expression" priority="11" aboveAverage="0" equalAverage="0" bottom="0" percent="0" rank="0" text="" dxfId="0">
      <formula>ISNUMBER(SEARCH("INCOMPLETE",H2))</formula>
    </cfRule>
    <cfRule type="expression" priority="12" aboveAverage="0" equalAverage="0" bottom="0" percent="0" rank="0" text="" dxfId="0">
      <formula>ISNUMBER(SEARCH("ALERT",H2))</formula>
    </cfRule>
    <cfRule type="expression" priority="13" aboveAverage="0" equalAverage="0" bottom="0" percent="0" rank="0" text="" dxfId="0">
      <formula>ISNUMBER(SEARCH("BELOW",H2))</formula>
    </cfRule>
    <cfRule type="expression" priority="14" aboveAverage="0" equalAverage="0" bottom="0" percent="0" rank="0" text="" dxfId="0">
      <formula>ISNUMBER(SEARCH("FAIL",H2))</formula>
    </cfRule>
    <cfRule type="expression" priority="15" aboveAverage="0" equalAverage="0" bottom="0" percent="0" rank="0" text="" dxfId="0">
      <formula>ISNUMBER(SEARCH("STAGNANT",H2))</formula>
    </cfRule>
    <cfRule type="expression" priority="16" aboveAverage="0" equalAverage="0" bottom="0" percent="0" rank="0" text="" dxfId="0">
      <formula>ISNUMBER(SEARCH("MISSING",H2))</formula>
    </cfRule>
    <cfRule type="expression" priority="17" aboveAverage="0" equalAverage="0" bottom="0" percent="0" rank="0" text="" dxfId="0">
      <formula>ISNUMBER(SEARCH("PLANTED",H2))</formula>
    </cfRule>
    <cfRule type="expression" priority="18" aboveAverage="0" equalAverage="0" bottom="0" percent="0" rank="0" text="" dxfId="0">
      <formula>ISNUMBER(SEARCH("WRITE WITHOUT",H2))</formula>
    </cfRule>
    <cfRule type="expression" priority="19" aboveAverage="0" equalAverage="0" bottom="0" percent="0" rank="0" text="" dxfId="0">
      <formula>ISNUMBER(SEARCH("CHALLENGE",H2))</formula>
    </cfRule>
    <cfRule type="expression" priority="20" aboveAverage="0" equalAverage="0" bottom="0" percent="0" rank="0" text="" dxfId="0">
      <formula>ISNUMBER(SEARCH("NOT STARTED",H2))</formula>
    </cfRule>
    <cfRule type="expression" priority="21" aboveAverage="0" equalAverage="0" bottom="0" percent="0" rank="0" text="" dxfId="0">
      <formula>ISNUMBER(SEARCH("DISCUSS",H2))</formula>
    </cfRule>
    <cfRule type="expression" priority="22" aboveAverage="0" equalAverage="0" bottom="0" percent="0" rank="0" text="" dxfId="0">
      <formula>ISNUMBER(SEARCH("UNSIGNED",H2))</formula>
    </cfRule>
    <cfRule type="expression" priority="23" aboveAverage="0" equalAverage="0" bottom="0" percent="0" rank="0" text="" dxfId="0">
      <formula>ISNUMBER(SEARCH("FALSE ALARM",H2))</formula>
    </cfRule>
    <cfRule type="expression" priority="24" aboveAverage="0" equalAverage="0" bottom="0" percent="0" rank="0" text="" dxfId="0">
      <formula>ISNUMBER(SEARCH("MISSED",H2))</formula>
    </cfRule>
    <cfRule type="expression" priority="25" aboveAverage="0" equalAverage="0" bottom="0" percent="0" rank="0" text="" dxfId="0">
      <formula>ISNUMBER(SEARCH("COSTUME",H2))</formula>
    </cfRule>
    <cfRule type="expression" priority="26" aboveAverage="0" equalAverage="0" bottom="0" percent="0" rank="0" text="" dxfId="0">
      <formula>ISNUMBER(SEARCH("PROMISE WITHOUT",H2))</formula>
    </cfRule>
    <cfRule type="expression" priority="27" aboveAverage="0" equalAverage="0" bottom="0" percent="0" rank="0" text="" dxfId="1">
      <formula>ISNUMBER(SEARCH("BORDERLINE",H2))</formula>
    </cfRule>
    <cfRule type="expression" priority="28" aboveAverage="0" equalAverage="0" bottom="0" percent="0" rank="0" text="" dxfId="1">
      <formula>ISNUMBER(SEARCH("WORKFLOW",H2))</formula>
    </cfRule>
    <cfRule type="expression" priority="29" aboveAverage="0" equalAverage="0" bottom="0" percent="0" rank="0" text="" dxfId="1">
      <formula>ISNUMBER(SEARCH("PENDING",H2))</formula>
    </cfRule>
    <cfRule type="expression" priority="30" aboveAverage="0" equalAverage="0" bottom="0" percent="0" rank="0" text="" dxfId="1">
      <formula>ISNUMBER(SEARCH("ADVISORY",H2))</formula>
    </cfRule>
    <cfRule type="expression" priority="31" aboveAverage="0" equalAverage="0" bottom="0" percent="0" rank="0" text="" dxfId="1">
      <formula>ISNUMBER(SEARCH("ABOVE",H2))</formula>
    </cfRule>
    <cfRule type="expression" priority="32" aboveAverage="0" equalAverage="0" bottom="0" percent="0" rank="0" text="" dxfId="1">
      <formula>ISNUMBER(SEARCH("TUNE",H2))</formula>
    </cfRule>
    <cfRule type="expression" priority="33" aboveAverage="0" equalAverage="0" bottom="0" percent="0" rank="0" text="" dxfId="1">
      <formula>ISNUMBER(SEARCH("REVIEW",H2))</formula>
    </cfRule>
    <cfRule type="expression" priority="34" aboveAverage="0" equalAverage="0" bottom="0" percent="0" rank="0" text="" dxfId="1">
      <formula>ISNUMBER(SEARCH("DECIDE",H2))</formula>
    </cfRule>
    <cfRule type="expression" priority="35" aboveAverage="0" equalAverage="0" bottom="0" percent="0" rank="0" text="" dxfId="1">
      <formula>ISNUMBER(SEARCH("IN PROGRESS",H2))</formula>
    </cfRule>
    <cfRule type="expression" priority="36" aboveAverage="0" equalAverage="0" bottom="0" percent="0" rank="0" text="" dxfId="1">
      <formula>ISNUMBER(SEARCH("PARTIAL",H2))</formula>
    </cfRule>
    <cfRule type="expression" priority="37" aboveAverage="0" equalAverage="0" bottom="0" percent="0" rank="0" text="" dxfId="1">
      <formula>ISNUMBER(SEARCH("NO DATA",H2))</formula>
    </cfRule>
    <cfRule type="expression" priority="38" aboveAverage="0" equalAverage="0" bottom="0" percent="0" rank="0" text="" dxfId="1">
      <formula>ISNUMBER(SEARCH("NOT RUN",H2))</formula>
    </cfRule>
    <cfRule type="expression" priority="39" aboveAverage="0" equalAverage="0" bottom="0" percent="0" rank="0" text="" dxfId="1">
      <formula>ISNUMBER(SEARCH("EVALUATE",H2))</formula>
    </cfRule>
    <cfRule type="expression" priority="40" aboveAverage="0" equalAverage="0" bottom="0" percent="0" rank="0" text="" dxfId="1">
      <formula>ISNUMBER(SEARCH("TIGHTEN",H2))</formula>
    </cfRule>
    <cfRule type="expression" priority="41" aboveAverage="0" equalAverage="0" bottom="0" percent="0" rank="0" text="" dxfId="1">
      <formula>ISNUMBER(SEARCH("LOOSEN",H2))</formula>
    </cfRule>
    <cfRule type="expression" priority="42" aboveAverage="0" equalAverage="0" bottom="0" percent="0" rank="0" text="" dxfId="1">
      <formula>ISNUMBER(SEARCH("WEAK",H2))</formula>
    </cfRule>
    <cfRule type="expression" priority="43" aboveAverage="0" equalAverage="0" bottom="0" percent="0" rank="0" text="" dxfId="1">
      <formula>ISNUMBER(SEARCH("ADJACENT",H2))</formula>
    </cfRule>
    <cfRule type="expression" priority="44" aboveAverage="0" equalAverage="0" bottom="0" percent="0" rank="0" text="" dxfId="1">
      <formula>ISNUMBER(SEARCH("GAPS",H2))</formula>
    </cfRule>
    <cfRule type="expression" priority="45" aboveAverage="0" equalAverage="0" bottom="0" percent="0" rank="0" text="" dxfId="1">
      <formula>ISNUMBER(SEARCH("ADD ONE",H2))</formula>
    </cfRule>
    <cfRule type="expression" priority="46" aboveAverage="0" equalAverage="0" bottom="0" percent="0" rank="0" text="" dxfId="1">
      <formula>ISNUMBER(SEARCH("⚠",H2))</formula>
    </cfRule>
    <cfRule type="expression" priority="47" aboveAverage="0" equalAverage="0" bottom="0" percent="0" rank="0" text="" dxfId="2">
      <formula>ISNUMBER(SEARCH("PASS",H2))</formula>
    </cfRule>
    <cfRule type="expression" priority="48" aboveAverage="0" equalAverage="0" bottom="0" percent="0" rank="0" text="" dxfId="2">
      <formula>ISNUMBER(SEARCH("GO",H2))</formula>
    </cfRule>
    <cfRule type="expression" priority="49" aboveAverage="0" equalAverage="0" bottom="0" percent="0" rank="0" text="" dxfId="2">
      <formula>ISNUMBER(SEARCH("BUILD",H2))</formula>
    </cfRule>
    <cfRule type="expression" priority="50" aboveAverage="0" equalAverage="0" bottom="0" percent="0" rank="0" text="" dxfId="2">
      <formula>ISNUMBER(SEARCH("COMPLETE",H2))</formula>
    </cfRule>
    <cfRule type="expression" priority="51" aboveAverage="0" equalAverage="0" bottom="0" percent="0" rank="0" text="" dxfId="2">
      <formula>ISNUMBER(SEARCH("ELIGIBLE",H2))</formula>
    </cfRule>
    <cfRule type="expression" priority="52" aboveAverage="0" equalAverage="0" bottom="0" percent="0" rank="0" text="" dxfId="2">
      <formula>ISNUMBER(SEARCH("SHIP",H2))</formula>
    </cfRule>
    <cfRule type="expression" priority="53" aboveAverage="0" equalAverage="0" bottom="0" percent="0" rank="0" text="" dxfId="2">
      <formula>ISNUMBER(SEARCH("ON TARGET",H2))</formula>
    </cfRule>
    <cfRule type="expression" priority="54" aboveAverage="0" equalAverage="0" bottom="0" percent="0" rank="0" text="" dxfId="2">
      <formula>ISNUMBER(SEARCH("ON TRACK",H2))</formula>
    </cfRule>
    <cfRule type="expression" priority="55" aboveAverage="0" equalAverage="0" bottom="0" percent="0" rank="0" text="" dxfId="2">
      <formula>ISNUMBER(SEARCH("RESOLVED",H2))</formula>
    </cfRule>
    <cfRule type="expression" priority="56" aboveAverage="0" equalAverage="0" bottom="0" percent="0" rank="0" text="" dxfId="2">
      <formula>ISNUMBER(SEARCH("OK",H2))</formula>
    </cfRule>
    <cfRule type="expression" priority="57" aboveAverage="0" equalAverage="0" bottom="0" percent="0" rank="0" text="" dxfId="2">
      <formula>ISNUMBER(SEARCH("MATCH",H2))</formula>
    </cfRule>
    <cfRule type="expression" priority="58" aboveAverage="0" equalAverage="0" bottom="0" percent="0" rank="0" text="" dxfId="2">
      <formula>ISNUMBER(SEARCH("SOUND",H2))</formula>
    </cfRule>
    <cfRule type="expression" priority="59" aboveAverage="0" equalAverage="0" bottom="0" percent="0" rank="0" text="" dxfId="2">
      <formula>ISNUMBER(SEARCH("WITHIN",H2))</formula>
    </cfRule>
    <cfRule type="expression" priority="60" aboveAverage="0" equalAverage="0" bottom="0" percent="0" rank="0" text="" dxfId="2">
      <formula>ISNUMBER(SEARCH("DONE",H2))</formula>
    </cfRule>
    <cfRule type="expression" priority="61" aboveAverage="0" equalAverage="0" bottom="0" percent="0" rank="0" text="" dxfId="2">
      <formula>ISNUMBER(SEARCH("SIGNED",H2))</formula>
    </cfRule>
    <cfRule type="expression" priority="62" aboveAverage="0" equalAverage="0" bottom="0" percent="0" rank="0" text="" dxfId="2">
      <formula>ISNUMBER(SEARCH("✓",H2))</formula>
    </cfRule>
    <cfRule type="expression" priority="63" aboveAverage="0" equalAverage="0" bottom="0" percent="0" rank="0" text="" dxfId="2">
      <formula>ISNUMBER(SEARCH("KEEP",H2))</formula>
    </cfRule>
    <cfRule type="expression" priority="64" aboveAverage="0" equalAverage="0" bottom="0" percent="0" rank="0" text="" dxfId="2">
      <formula>ISNUMBER(SEARCH("DEV-READY",H2))</formula>
    </cfRule>
    <cfRule type="expression" priority="65" aboveAverage="0" equalAverage="0" bottom="0" percent="0" rank="0" text="" dxfId="2">
      <formula>ISNUMBER(SEARCH("GREW",H2))</formula>
    </cfRule>
    <cfRule type="expression" priority="66" aboveAverage="0" equalAverage="0" bottom="0" percent="0" rank="0" text="" dxfId="2">
      <formula>ISNUMBER(SEARCH("HIT",H2))</formula>
    </cfRule>
    <cfRule type="expression" priority="67" aboveAverage="0" equalAverage="0" bottom="0" percent="0" rank="0" text="" dxfId="2">
      <formula>ISNUMBER(SEARCH("CORRECT",H2))</formula>
    </cfRule>
    <cfRule type="expression" priority="68" aboveAverage="0" equalAverage="0" bottom="0" percent="0" rank="0" text="" dxfId="2">
      <formula>ISNUMBER(SEARCH("STAY",H2))</formula>
    </cfRule>
  </conditionalFormatting>
  <conditionalFormatting sqref="E11">
    <cfRule type="expression" priority="69" aboveAverage="0" equalAverage="0" bottom="0" percent="0" rank="0" text="" dxfId="0">
      <formula>ISNUMBER(SEARCH("NO-GO",E11))</formula>
    </cfRule>
    <cfRule type="expression" priority="70" aboveAverage="0" equalAverage="0" bottom="0" percent="0" rank="0" text="" dxfId="0">
      <formula>ISNUMBER(SEARCH("HOLD",E11))</formula>
    </cfRule>
    <cfRule type="expression" priority="71" aboveAverage="0" equalAverage="0" bottom="0" percent="0" rank="0" text="" dxfId="0">
      <formula>ISNUMBER(SEARCH("KILL",E11))</formula>
    </cfRule>
    <cfRule type="expression" priority="72" aboveAverage="0" equalAverage="0" bottom="0" percent="0" rank="0" text="" dxfId="0">
      <formula>ISNUMBER(SEARCH("BLOCKED",E11))</formula>
    </cfRule>
    <cfRule type="expression" priority="73" aboveAverage="0" equalAverage="0" bottom="0" percent="0" rank="0" text="" dxfId="0">
      <formula>ISNUMBER(SEARCH("INVALID",E11))</formula>
    </cfRule>
    <cfRule type="expression" priority="74" aboveAverage="0" equalAverage="0" bottom="0" percent="0" rank="0" text="" dxfId="0">
      <formula>ISNUMBER(SEARCH("VIOLATION",E11))</formula>
    </cfRule>
    <cfRule type="expression" priority="75" aboveAverage="0" equalAverage="0" bottom="0" percent="0" rank="0" text="" dxfId="0">
      <formula>ISNUMBER(SEARCH("UNDER-SLACKED",E11))</formula>
    </cfRule>
    <cfRule type="expression" priority="76" aboveAverage="0" equalAverage="0" bottom="0" percent="0" rank="0" text="" dxfId="0">
      <formula>ISNUMBER(SEARCH("NOT YET",E11))</formula>
    </cfRule>
    <cfRule type="expression" priority="77" aboveAverage="0" equalAverage="0" bottom="0" percent="0" rank="0" text="" dxfId="0">
      <formula>ISNUMBER(SEARCH("HALF",E11))</formula>
    </cfRule>
    <cfRule type="expression" priority="78" aboveAverage="0" equalAverage="0" bottom="0" percent="0" rank="0" text="" dxfId="0">
      <formula>ISNUMBER(SEARCH("INCOMPLETE",E11))</formula>
    </cfRule>
    <cfRule type="expression" priority="79" aboveAverage="0" equalAverage="0" bottom="0" percent="0" rank="0" text="" dxfId="0">
      <formula>ISNUMBER(SEARCH("ALERT",E11))</formula>
    </cfRule>
    <cfRule type="expression" priority="80" aboveAverage="0" equalAverage="0" bottom="0" percent="0" rank="0" text="" dxfId="0">
      <formula>ISNUMBER(SEARCH("BELOW",E11))</formula>
    </cfRule>
    <cfRule type="expression" priority="81" aboveAverage="0" equalAverage="0" bottom="0" percent="0" rank="0" text="" dxfId="0">
      <formula>ISNUMBER(SEARCH("FAIL",E11))</formula>
    </cfRule>
    <cfRule type="expression" priority="82" aboveAverage="0" equalAverage="0" bottom="0" percent="0" rank="0" text="" dxfId="0">
      <formula>ISNUMBER(SEARCH("STAGNANT",E11))</formula>
    </cfRule>
    <cfRule type="expression" priority="83" aboveAverage="0" equalAverage="0" bottom="0" percent="0" rank="0" text="" dxfId="0">
      <formula>ISNUMBER(SEARCH("MISSING",E11))</formula>
    </cfRule>
    <cfRule type="expression" priority="84" aboveAverage="0" equalAverage="0" bottom="0" percent="0" rank="0" text="" dxfId="0">
      <formula>ISNUMBER(SEARCH("PLANTED",E11))</formula>
    </cfRule>
    <cfRule type="expression" priority="85" aboveAverage="0" equalAverage="0" bottom="0" percent="0" rank="0" text="" dxfId="0">
      <formula>ISNUMBER(SEARCH("WRITE WITHOUT",E11))</formula>
    </cfRule>
    <cfRule type="expression" priority="86" aboveAverage="0" equalAverage="0" bottom="0" percent="0" rank="0" text="" dxfId="0">
      <formula>ISNUMBER(SEARCH("CHALLENGE",E11))</formula>
    </cfRule>
    <cfRule type="expression" priority="87" aboveAverage="0" equalAverage="0" bottom="0" percent="0" rank="0" text="" dxfId="0">
      <formula>ISNUMBER(SEARCH("NOT STARTED",E11))</formula>
    </cfRule>
    <cfRule type="expression" priority="88" aboveAverage="0" equalAverage="0" bottom="0" percent="0" rank="0" text="" dxfId="0">
      <formula>ISNUMBER(SEARCH("DISCUSS",E11))</formula>
    </cfRule>
    <cfRule type="expression" priority="89" aboveAverage="0" equalAverage="0" bottom="0" percent="0" rank="0" text="" dxfId="0">
      <formula>ISNUMBER(SEARCH("UNSIGNED",E11))</formula>
    </cfRule>
    <cfRule type="expression" priority="90" aboveAverage="0" equalAverage="0" bottom="0" percent="0" rank="0" text="" dxfId="0">
      <formula>ISNUMBER(SEARCH("FALSE ALARM",E11))</formula>
    </cfRule>
    <cfRule type="expression" priority="91" aboveAverage="0" equalAverage="0" bottom="0" percent="0" rank="0" text="" dxfId="0">
      <formula>ISNUMBER(SEARCH("MISSED",E11))</formula>
    </cfRule>
    <cfRule type="expression" priority="92" aboveAverage="0" equalAverage="0" bottom="0" percent="0" rank="0" text="" dxfId="0">
      <formula>ISNUMBER(SEARCH("COSTUME",E11))</formula>
    </cfRule>
    <cfRule type="expression" priority="93" aboveAverage="0" equalAverage="0" bottom="0" percent="0" rank="0" text="" dxfId="0">
      <formula>ISNUMBER(SEARCH("PROMISE WITHOUT",E11))</formula>
    </cfRule>
    <cfRule type="expression" priority="94" aboveAverage="0" equalAverage="0" bottom="0" percent="0" rank="0" text="" dxfId="1">
      <formula>ISNUMBER(SEARCH("BORDERLINE",E11))</formula>
    </cfRule>
    <cfRule type="expression" priority="95" aboveAverage="0" equalAverage="0" bottom="0" percent="0" rank="0" text="" dxfId="1">
      <formula>ISNUMBER(SEARCH("WORKFLOW",E11))</formula>
    </cfRule>
    <cfRule type="expression" priority="96" aboveAverage="0" equalAverage="0" bottom="0" percent="0" rank="0" text="" dxfId="1">
      <formula>ISNUMBER(SEARCH("PENDING",E11))</formula>
    </cfRule>
    <cfRule type="expression" priority="97" aboveAverage="0" equalAverage="0" bottom="0" percent="0" rank="0" text="" dxfId="1">
      <formula>ISNUMBER(SEARCH("ADVISORY",E11))</formula>
    </cfRule>
    <cfRule type="expression" priority="98" aboveAverage="0" equalAverage="0" bottom="0" percent="0" rank="0" text="" dxfId="1">
      <formula>ISNUMBER(SEARCH("ABOVE",E11))</formula>
    </cfRule>
    <cfRule type="expression" priority="99" aboveAverage="0" equalAverage="0" bottom="0" percent="0" rank="0" text="" dxfId="1">
      <formula>ISNUMBER(SEARCH("TUNE",E11))</formula>
    </cfRule>
    <cfRule type="expression" priority="100" aboveAverage="0" equalAverage="0" bottom="0" percent="0" rank="0" text="" dxfId="1">
      <formula>ISNUMBER(SEARCH("REVIEW",E11))</formula>
    </cfRule>
    <cfRule type="expression" priority="101" aboveAverage="0" equalAverage="0" bottom="0" percent="0" rank="0" text="" dxfId="1">
      <formula>ISNUMBER(SEARCH("DECIDE",E11))</formula>
    </cfRule>
    <cfRule type="expression" priority="102" aboveAverage="0" equalAverage="0" bottom="0" percent="0" rank="0" text="" dxfId="1">
      <formula>ISNUMBER(SEARCH("IN PROGRESS",E11))</formula>
    </cfRule>
    <cfRule type="expression" priority="103" aboveAverage="0" equalAverage="0" bottom="0" percent="0" rank="0" text="" dxfId="1">
      <formula>ISNUMBER(SEARCH("PARTIAL",E11))</formula>
    </cfRule>
    <cfRule type="expression" priority="104" aboveAverage="0" equalAverage="0" bottom="0" percent="0" rank="0" text="" dxfId="1">
      <formula>ISNUMBER(SEARCH("NO DATA",E11))</formula>
    </cfRule>
    <cfRule type="expression" priority="105" aboveAverage="0" equalAverage="0" bottom="0" percent="0" rank="0" text="" dxfId="1">
      <formula>ISNUMBER(SEARCH("NOT RUN",E11))</formula>
    </cfRule>
    <cfRule type="expression" priority="106" aboveAverage="0" equalAverage="0" bottom="0" percent="0" rank="0" text="" dxfId="1">
      <formula>ISNUMBER(SEARCH("EVALUATE",E11))</formula>
    </cfRule>
    <cfRule type="expression" priority="107" aboveAverage="0" equalAverage="0" bottom="0" percent="0" rank="0" text="" dxfId="1">
      <formula>ISNUMBER(SEARCH("TIGHTEN",E11))</formula>
    </cfRule>
    <cfRule type="expression" priority="108" aboveAverage="0" equalAverage="0" bottom="0" percent="0" rank="0" text="" dxfId="1">
      <formula>ISNUMBER(SEARCH("LOOSEN",E11))</formula>
    </cfRule>
    <cfRule type="expression" priority="109" aboveAverage="0" equalAverage="0" bottom="0" percent="0" rank="0" text="" dxfId="1">
      <formula>ISNUMBER(SEARCH("WEAK",E11))</formula>
    </cfRule>
    <cfRule type="expression" priority="110" aboveAverage="0" equalAverage="0" bottom="0" percent="0" rank="0" text="" dxfId="1">
      <formula>ISNUMBER(SEARCH("ADJACENT",E11))</formula>
    </cfRule>
    <cfRule type="expression" priority="111" aboveAverage="0" equalAverage="0" bottom="0" percent="0" rank="0" text="" dxfId="1">
      <formula>ISNUMBER(SEARCH("GAPS",E11))</formula>
    </cfRule>
    <cfRule type="expression" priority="112" aboveAverage="0" equalAverage="0" bottom="0" percent="0" rank="0" text="" dxfId="1">
      <formula>ISNUMBER(SEARCH("ADD ONE",E11))</formula>
    </cfRule>
    <cfRule type="expression" priority="113" aboveAverage="0" equalAverage="0" bottom="0" percent="0" rank="0" text="" dxfId="1">
      <formula>ISNUMBER(SEARCH("⚠",E11))</formula>
    </cfRule>
    <cfRule type="expression" priority="114" aboveAverage="0" equalAverage="0" bottom="0" percent="0" rank="0" text="" dxfId="2">
      <formula>ISNUMBER(SEARCH("PASS",E11))</formula>
    </cfRule>
    <cfRule type="expression" priority="115" aboveAverage="0" equalAverage="0" bottom="0" percent="0" rank="0" text="" dxfId="2">
      <formula>ISNUMBER(SEARCH("GO",E11))</formula>
    </cfRule>
    <cfRule type="expression" priority="116" aboveAverage="0" equalAverage="0" bottom="0" percent="0" rank="0" text="" dxfId="2">
      <formula>ISNUMBER(SEARCH("BUILD",E11))</formula>
    </cfRule>
    <cfRule type="expression" priority="117" aboveAverage="0" equalAverage="0" bottom="0" percent="0" rank="0" text="" dxfId="2">
      <formula>ISNUMBER(SEARCH("COMPLETE",E11))</formula>
    </cfRule>
    <cfRule type="expression" priority="118" aboveAverage="0" equalAverage="0" bottom="0" percent="0" rank="0" text="" dxfId="2">
      <formula>ISNUMBER(SEARCH("ELIGIBLE",E11))</formula>
    </cfRule>
    <cfRule type="expression" priority="119" aboveAverage="0" equalAverage="0" bottom="0" percent="0" rank="0" text="" dxfId="2">
      <formula>ISNUMBER(SEARCH("SHIP",E11))</formula>
    </cfRule>
    <cfRule type="expression" priority="120" aboveAverage="0" equalAverage="0" bottom="0" percent="0" rank="0" text="" dxfId="2">
      <formula>ISNUMBER(SEARCH("ON TARGET",E11))</formula>
    </cfRule>
    <cfRule type="expression" priority="121" aboveAverage="0" equalAverage="0" bottom="0" percent="0" rank="0" text="" dxfId="2">
      <formula>ISNUMBER(SEARCH("ON TRACK",E11))</formula>
    </cfRule>
    <cfRule type="expression" priority="122" aboveAverage="0" equalAverage="0" bottom="0" percent="0" rank="0" text="" dxfId="2">
      <formula>ISNUMBER(SEARCH("RESOLVED",E11))</formula>
    </cfRule>
    <cfRule type="expression" priority="123" aboveAverage="0" equalAverage="0" bottom="0" percent="0" rank="0" text="" dxfId="2">
      <formula>ISNUMBER(SEARCH("OK",E11))</formula>
    </cfRule>
    <cfRule type="expression" priority="124" aboveAverage="0" equalAverage="0" bottom="0" percent="0" rank="0" text="" dxfId="2">
      <formula>ISNUMBER(SEARCH("MATCH",E11))</formula>
    </cfRule>
    <cfRule type="expression" priority="125" aboveAverage="0" equalAverage="0" bottom="0" percent="0" rank="0" text="" dxfId="2">
      <formula>ISNUMBER(SEARCH("SOUND",E11))</formula>
    </cfRule>
    <cfRule type="expression" priority="126" aboveAverage="0" equalAverage="0" bottom="0" percent="0" rank="0" text="" dxfId="2">
      <formula>ISNUMBER(SEARCH("WITHIN",E11))</formula>
    </cfRule>
    <cfRule type="expression" priority="127" aboveAverage="0" equalAverage="0" bottom="0" percent="0" rank="0" text="" dxfId="2">
      <formula>ISNUMBER(SEARCH("DONE",E11))</formula>
    </cfRule>
    <cfRule type="expression" priority="128" aboveAverage="0" equalAverage="0" bottom="0" percent="0" rank="0" text="" dxfId="2">
      <formula>ISNUMBER(SEARCH("SIGNED",E11))</formula>
    </cfRule>
    <cfRule type="expression" priority="129" aboveAverage="0" equalAverage="0" bottom="0" percent="0" rank="0" text="" dxfId="2">
      <formula>ISNUMBER(SEARCH("✓",E11))</formula>
    </cfRule>
    <cfRule type="expression" priority="130" aboveAverage="0" equalAverage="0" bottom="0" percent="0" rank="0" text="" dxfId="2">
      <formula>ISNUMBER(SEARCH("KEEP",E11))</formula>
    </cfRule>
    <cfRule type="expression" priority="131" aboveAverage="0" equalAverage="0" bottom="0" percent="0" rank="0" text="" dxfId="2">
      <formula>ISNUMBER(SEARCH("DEV-READY",E11))</formula>
    </cfRule>
    <cfRule type="expression" priority="132" aboveAverage="0" equalAverage="0" bottom="0" percent="0" rank="0" text="" dxfId="2">
      <formula>ISNUMBER(SEARCH("GREW",E11))</formula>
    </cfRule>
    <cfRule type="expression" priority="133" aboveAverage="0" equalAverage="0" bottom="0" percent="0" rank="0" text="" dxfId="2">
      <formula>ISNUMBER(SEARCH("HIT",E11))</formula>
    </cfRule>
    <cfRule type="expression" priority="134" aboveAverage="0" equalAverage="0" bottom="0" percent="0" rank="0" text="" dxfId="2">
      <formula>ISNUMBER(SEARCH("CORRECT",E11))</formula>
    </cfRule>
    <cfRule type="expression" priority="135" aboveAverage="0" equalAverage="0" bottom="0" percent="0" rank="0" text="" dxfId="2">
      <formula>ISNUMBER(SEARCH("STAY",E11))</formula>
    </cfRule>
  </conditionalFormatting>
  <conditionalFormatting sqref="E15:E20">
    <cfRule type="expression" priority="136" aboveAverage="0" equalAverage="0" bottom="0" percent="0" rank="0" text="" dxfId="0">
      <formula>ISNUMBER(SEARCH("NO-GO",E15))</formula>
    </cfRule>
    <cfRule type="expression" priority="137" aboveAverage="0" equalAverage="0" bottom="0" percent="0" rank="0" text="" dxfId="0">
      <formula>ISNUMBER(SEARCH("HOLD",E15))</formula>
    </cfRule>
    <cfRule type="expression" priority="138" aboveAverage="0" equalAverage="0" bottom="0" percent="0" rank="0" text="" dxfId="0">
      <formula>ISNUMBER(SEARCH("KILL",E15))</formula>
    </cfRule>
    <cfRule type="expression" priority="139" aboveAverage="0" equalAverage="0" bottom="0" percent="0" rank="0" text="" dxfId="0">
      <formula>ISNUMBER(SEARCH("BLOCKED",E15))</formula>
    </cfRule>
    <cfRule type="expression" priority="140" aboveAverage="0" equalAverage="0" bottom="0" percent="0" rank="0" text="" dxfId="0">
      <formula>ISNUMBER(SEARCH("INVALID",E15))</formula>
    </cfRule>
    <cfRule type="expression" priority="141" aboveAverage="0" equalAverage="0" bottom="0" percent="0" rank="0" text="" dxfId="0">
      <formula>ISNUMBER(SEARCH("VIOLATION",E15))</formula>
    </cfRule>
    <cfRule type="expression" priority="142" aboveAverage="0" equalAverage="0" bottom="0" percent="0" rank="0" text="" dxfId="0">
      <formula>ISNUMBER(SEARCH("UNDER-SLACKED",E15))</formula>
    </cfRule>
    <cfRule type="expression" priority="143" aboveAverage="0" equalAverage="0" bottom="0" percent="0" rank="0" text="" dxfId="0">
      <formula>ISNUMBER(SEARCH("NOT YET",E15))</formula>
    </cfRule>
    <cfRule type="expression" priority="144" aboveAverage="0" equalAverage="0" bottom="0" percent="0" rank="0" text="" dxfId="0">
      <formula>ISNUMBER(SEARCH("HALF",E15))</formula>
    </cfRule>
    <cfRule type="expression" priority="145" aboveAverage="0" equalAverage="0" bottom="0" percent="0" rank="0" text="" dxfId="0">
      <formula>ISNUMBER(SEARCH("INCOMPLETE",E15))</formula>
    </cfRule>
    <cfRule type="expression" priority="146" aboveAverage="0" equalAverage="0" bottom="0" percent="0" rank="0" text="" dxfId="0">
      <formula>ISNUMBER(SEARCH("ALERT",E15))</formula>
    </cfRule>
    <cfRule type="expression" priority="147" aboveAverage="0" equalAverage="0" bottom="0" percent="0" rank="0" text="" dxfId="0">
      <formula>ISNUMBER(SEARCH("BELOW",E15))</formula>
    </cfRule>
    <cfRule type="expression" priority="148" aboveAverage="0" equalAverage="0" bottom="0" percent="0" rank="0" text="" dxfId="0">
      <formula>ISNUMBER(SEARCH("FAIL",E15))</formula>
    </cfRule>
    <cfRule type="expression" priority="149" aboveAverage="0" equalAverage="0" bottom="0" percent="0" rank="0" text="" dxfId="0">
      <formula>ISNUMBER(SEARCH("STAGNANT",E15))</formula>
    </cfRule>
    <cfRule type="expression" priority="150" aboveAverage="0" equalAverage="0" bottom="0" percent="0" rank="0" text="" dxfId="0">
      <formula>ISNUMBER(SEARCH("MISSING",E15))</formula>
    </cfRule>
    <cfRule type="expression" priority="151" aboveAverage="0" equalAverage="0" bottom="0" percent="0" rank="0" text="" dxfId="0">
      <formula>ISNUMBER(SEARCH("PLANTED",E15))</formula>
    </cfRule>
    <cfRule type="expression" priority="152" aboveAverage="0" equalAverage="0" bottom="0" percent="0" rank="0" text="" dxfId="0">
      <formula>ISNUMBER(SEARCH("WRITE WITHOUT",E15))</formula>
    </cfRule>
    <cfRule type="expression" priority="153" aboveAverage="0" equalAverage="0" bottom="0" percent="0" rank="0" text="" dxfId="0">
      <formula>ISNUMBER(SEARCH("CHALLENGE",E15))</formula>
    </cfRule>
    <cfRule type="expression" priority="154" aboveAverage="0" equalAverage="0" bottom="0" percent="0" rank="0" text="" dxfId="0">
      <formula>ISNUMBER(SEARCH("NOT STARTED",E15))</formula>
    </cfRule>
    <cfRule type="expression" priority="155" aboveAverage="0" equalAverage="0" bottom="0" percent="0" rank="0" text="" dxfId="0">
      <formula>ISNUMBER(SEARCH("DISCUSS",E15))</formula>
    </cfRule>
    <cfRule type="expression" priority="156" aboveAverage="0" equalAverage="0" bottom="0" percent="0" rank="0" text="" dxfId="0">
      <formula>ISNUMBER(SEARCH("UNSIGNED",E15))</formula>
    </cfRule>
    <cfRule type="expression" priority="157" aboveAverage="0" equalAverage="0" bottom="0" percent="0" rank="0" text="" dxfId="0">
      <formula>ISNUMBER(SEARCH("FALSE ALARM",E15))</formula>
    </cfRule>
    <cfRule type="expression" priority="158" aboveAverage="0" equalAverage="0" bottom="0" percent="0" rank="0" text="" dxfId="0">
      <formula>ISNUMBER(SEARCH("MISSED",E15))</formula>
    </cfRule>
    <cfRule type="expression" priority="159" aboveAverage="0" equalAverage="0" bottom="0" percent="0" rank="0" text="" dxfId="0">
      <formula>ISNUMBER(SEARCH("COSTUME",E15))</formula>
    </cfRule>
    <cfRule type="expression" priority="160" aboveAverage="0" equalAverage="0" bottom="0" percent="0" rank="0" text="" dxfId="0">
      <formula>ISNUMBER(SEARCH("PROMISE WITHOUT",E15))</formula>
    </cfRule>
    <cfRule type="expression" priority="161" aboveAverage="0" equalAverage="0" bottom="0" percent="0" rank="0" text="" dxfId="1">
      <formula>ISNUMBER(SEARCH("BORDERLINE",E15))</formula>
    </cfRule>
    <cfRule type="expression" priority="162" aboveAverage="0" equalAverage="0" bottom="0" percent="0" rank="0" text="" dxfId="1">
      <formula>ISNUMBER(SEARCH("WORKFLOW",E15))</formula>
    </cfRule>
    <cfRule type="expression" priority="163" aboveAverage="0" equalAverage="0" bottom="0" percent="0" rank="0" text="" dxfId="1">
      <formula>ISNUMBER(SEARCH("PENDING",E15))</formula>
    </cfRule>
    <cfRule type="expression" priority="164" aboveAverage="0" equalAverage="0" bottom="0" percent="0" rank="0" text="" dxfId="1">
      <formula>ISNUMBER(SEARCH("ADVISORY",E15))</formula>
    </cfRule>
    <cfRule type="expression" priority="165" aboveAverage="0" equalAverage="0" bottom="0" percent="0" rank="0" text="" dxfId="1">
      <formula>ISNUMBER(SEARCH("ABOVE",E15))</formula>
    </cfRule>
    <cfRule type="expression" priority="166" aboveAverage="0" equalAverage="0" bottom="0" percent="0" rank="0" text="" dxfId="1">
      <formula>ISNUMBER(SEARCH("TUNE",E15))</formula>
    </cfRule>
    <cfRule type="expression" priority="167" aboveAverage="0" equalAverage="0" bottom="0" percent="0" rank="0" text="" dxfId="1">
      <formula>ISNUMBER(SEARCH("REVIEW",E15))</formula>
    </cfRule>
    <cfRule type="expression" priority="168" aboveAverage="0" equalAverage="0" bottom="0" percent="0" rank="0" text="" dxfId="1">
      <formula>ISNUMBER(SEARCH("DECIDE",E15))</formula>
    </cfRule>
    <cfRule type="expression" priority="169" aboveAverage="0" equalAverage="0" bottom="0" percent="0" rank="0" text="" dxfId="1">
      <formula>ISNUMBER(SEARCH("IN PROGRESS",E15))</formula>
    </cfRule>
    <cfRule type="expression" priority="170" aboveAverage="0" equalAverage="0" bottom="0" percent="0" rank="0" text="" dxfId="1">
      <formula>ISNUMBER(SEARCH("PARTIAL",E15))</formula>
    </cfRule>
    <cfRule type="expression" priority="171" aboveAverage="0" equalAverage="0" bottom="0" percent="0" rank="0" text="" dxfId="1">
      <formula>ISNUMBER(SEARCH("NO DATA",E15))</formula>
    </cfRule>
    <cfRule type="expression" priority="172" aboveAverage="0" equalAverage="0" bottom="0" percent="0" rank="0" text="" dxfId="1">
      <formula>ISNUMBER(SEARCH("NOT RUN",E15))</formula>
    </cfRule>
    <cfRule type="expression" priority="173" aboveAverage="0" equalAverage="0" bottom="0" percent="0" rank="0" text="" dxfId="1">
      <formula>ISNUMBER(SEARCH("EVALUATE",E15))</formula>
    </cfRule>
    <cfRule type="expression" priority="174" aboveAverage="0" equalAverage="0" bottom="0" percent="0" rank="0" text="" dxfId="1">
      <formula>ISNUMBER(SEARCH("TIGHTEN",E15))</formula>
    </cfRule>
    <cfRule type="expression" priority="175" aboveAverage="0" equalAverage="0" bottom="0" percent="0" rank="0" text="" dxfId="1">
      <formula>ISNUMBER(SEARCH("LOOSEN",E15))</formula>
    </cfRule>
    <cfRule type="expression" priority="176" aboveAverage="0" equalAverage="0" bottom="0" percent="0" rank="0" text="" dxfId="1">
      <formula>ISNUMBER(SEARCH("WEAK",E15))</formula>
    </cfRule>
    <cfRule type="expression" priority="177" aboveAverage="0" equalAverage="0" bottom="0" percent="0" rank="0" text="" dxfId="1">
      <formula>ISNUMBER(SEARCH("ADJACENT",E15))</formula>
    </cfRule>
    <cfRule type="expression" priority="178" aboveAverage="0" equalAverage="0" bottom="0" percent="0" rank="0" text="" dxfId="1">
      <formula>ISNUMBER(SEARCH("GAPS",E15))</formula>
    </cfRule>
    <cfRule type="expression" priority="179" aboveAverage="0" equalAverage="0" bottom="0" percent="0" rank="0" text="" dxfId="1">
      <formula>ISNUMBER(SEARCH("ADD ONE",E15))</formula>
    </cfRule>
    <cfRule type="expression" priority="180" aboveAverage="0" equalAverage="0" bottom="0" percent="0" rank="0" text="" dxfId="1">
      <formula>ISNUMBER(SEARCH("⚠",E15))</formula>
    </cfRule>
    <cfRule type="expression" priority="181" aboveAverage="0" equalAverage="0" bottom="0" percent="0" rank="0" text="" dxfId="2">
      <formula>ISNUMBER(SEARCH("PASS",E15))</formula>
    </cfRule>
    <cfRule type="expression" priority="182" aboveAverage="0" equalAverage="0" bottom="0" percent="0" rank="0" text="" dxfId="2">
      <formula>ISNUMBER(SEARCH("GO",E15))</formula>
    </cfRule>
    <cfRule type="expression" priority="183" aboveAverage="0" equalAverage="0" bottom="0" percent="0" rank="0" text="" dxfId="2">
      <formula>ISNUMBER(SEARCH("BUILD",E15))</formula>
    </cfRule>
    <cfRule type="expression" priority="184" aboveAverage="0" equalAverage="0" bottom="0" percent="0" rank="0" text="" dxfId="2">
      <formula>ISNUMBER(SEARCH("COMPLETE",E15))</formula>
    </cfRule>
    <cfRule type="expression" priority="185" aboveAverage="0" equalAverage="0" bottom="0" percent="0" rank="0" text="" dxfId="2">
      <formula>ISNUMBER(SEARCH("ELIGIBLE",E15))</formula>
    </cfRule>
    <cfRule type="expression" priority="186" aboveAverage="0" equalAverage="0" bottom="0" percent="0" rank="0" text="" dxfId="2">
      <formula>ISNUMBER(SEARCH("SHIP",E15))</formula>
    </cfRule>
    <cfRule type="expression" priority="187" aboveAverage="0" equalAverage="0" bottom="0" percent="0" rank="0" text="" dxfId="2">
      <formula>ISNUMBER(SEARCH("ON TARGET",E15))</formula>
    </cfRule>
    <cfRule type="expression" priority="188" aboveAverage="0" equalAverage="0" bottom="0" percent="0" rank="0" text="" dxfId="2">
      <formula>ISNUMBER(SEARCH("ON TRACK",E15))</formula>
    </cfRule>
    <cfRule type="expression" priority="189" aboveAverage="0" equalAverage="0" bottom="0" percent="0" rank="0" text="" dxfId="2">
      <formula>ISNUMBER(SEARCH("RESOLVED",E15))</formula>
    </cfRule>
    <cfRule type="expression" priority="190" aboveAverage="0" equalAverage="0" bottom="0" percent="0" rank="0" text="" dxfId="2">
      <formula>ISNUMBER(SEARCH("OK",E15))</formula>
    </cfRule>
    <cfRule type="expression" priority="191" aboveAverage="0" equalAverage="0" bottom="0" percent="0" rank="0" text="" dxfId="2">
      <formula>ISNUMBER(SEARCH("MATCH",E15))</formula>
    </cfRule>
    <cfRule type="expression" priority="192" aboveAverage="0" equalAverage="0" bottom="0" percent="0" rank="0" text="" dxfId="2">
      <formula>ISNUMBER(SEARCH("SOUND",E15))</formula>
    </cfRule>
    <cfRule type="expression" priority="193" aboveAverage="0" equalAverage="0" bottom="0" percent="0" rank="0" text="" dxfId="2">
      <formula>ISNUMBER(SEARCH("WITHIN",E15))</formula>
    </cfRule>
    <cfRule type="expression" priority="194" aboveAverage="0" equalAverage="0" bottom="0" percent="0" rank="0" text="" dxfId="2">
      <formula>ISNUMBER(SEARCH("DONE",E15))</formula>
    </cfRule>
    <cfRule type="expression" priority="195" aboveAverage="0" equalAverage="0" bottom="0" percent="0" rank="0" text="" dxfId="2">
      <formula>ISNUMBER(SEARCH("SIGNED",E15))</formula>
    </cfRule>
    <cfRule type="expression" priority="196" aboveAverage="0" equalAverage="0" bottom="0" percent="0" rank="0" text="" dxfId="2">
      <formula>ISNUMBER(SEARCH("✓",E15))</formula>
    </cfRule>
    <cfRule type="expression" priority="197" aboveAverage="0" equalAverage="0" bottom="0" percent="0" rank="0" text="" dxfId="2">
      <formula>ISNUMBER(SEARCH("KEEP",E15))</formula>
    </cfRule>
    <cfRule type="expression" priority="198" aboveAverage="0" equalAverage="0" bottom="0" percent="0" rank="0" text="" dxfId="2">
      <formula>ISNUMBER(SEARCH("DEV-READY",E15))</formula>
    </cfRule>
    <cfRule type="expression" priority="199" aboveAverage="0" equalAverage="0" bottom="0" percent="0" rank="0" text="" dxfId="2">
      <formula>ISNUMBER(SEARCH("GREW",E15))</formula>
    </cfRule>
    <cfRule type="expression" priority="200" aboveAverage="0" equalAverage="0" bottom="0" percent="0" rank="0" text="" dxfId="2">
      <formula>ISNUMBER(SEARCH("HIT",E15))</formula>
    </cfRule>
    <cfRule type="expression" priority="201" aboveAverage="0" equalAverage="0" bottom="0" percent="0" rank="0" text="" dxfId="2">
      <formula>ISNUMBER(SEARCH("CORRECT",E15))</formula>
    </cfRule>
    <cfRule type="expression" priority="202" aboveAverage="0" equalAverage="0" bottom="0" percent="0" rank="0" text="" dxfId="2">
      <formula>ISNUMBER(SEARCH("STAY",E15))</formula>
    </cfRule>
  </conditionalFormatting>
  <conditionalFormatting sqref="I24:I26">
    <cfRule type="expression" priority="203" aboveAverage="0" equalAverage="0" bottom="0" percent="0" rank="0" text="" dxfId="0">
      <formula>ISNUMBER(SEARCH("NO-GO",I24))</formula>
    </cfRule>
    <cfRule type="expression" priority="204" aboveAverage="0" equalAverage="0" bottom="0" percent="0" rank="0" text="" dxfId="0">
      <formula>ISNUMBER(SEARCH("HOLD",I24))</formula>
    </cfRule>
    <cfRule type="expression" priority="205" aboveAverage="0" equalAverage="0" bottom="0" percent="0" rank="0" text="" dxfId="0">
      <formula>ISNUMBER(SEARCH("KILL",I24))</formula>
    </cfRule>
    <cfRule type="expression" priority="206" aboveAverage="0" equalAverage="0" bottom="0" percent="0" rank="0" text="" dxfId="0">
      <formula>ISNUMBER(SEARCH("BLOCKED",I24))</formula>
    </cfRule>
    <cfRule type="expression" priority="207" aboveAverage="0" equalAverage="0" bottom="0" percent="0" rank="0" text="" dxfId="0">
      <formula>ISNUMBER(SEARCH("INVALID",I24))</formula>
    </cfRule>
    <cfRule type="expression" priority="208" aboveAverage="0" equalAverage="0" bottom="0" percent="0" rank="0" text="" dxfId="0">
      <formula>ISNUMBER(SEARCH("VIOLATION",I24))</formula>
    </cfRule>
    <cfRule type="expression" priority="209" aboveAverage="0" equalAverage="0" bottom="0" percent="0" rank="0" text="" dxfId="0">
      <formula>ISNUMBER(SEARCH("UNDER-SLACKED",I24))</formula>
    </cfRule>
    <cfRule type="expression" priority="210" aboveAverage="0" equalAverage="0" bottom="0" percent="0" rank="0" text="" dxfId="0">
      <formula>ISNUMBER(SEARCH("NOT YET",I24))</formula>
    </cfRule>
    <cfRule type="expression" priority="211" aboveAverage="0" equalAverage="0" bottom="0" percent="0" rank="0" text="" dxfId="0">
      <formula>ISNUMBER(SEARCH("HALF",I24))</formula>
    </cfRule>
    <cfRule type="expression" priority="212" aboveAverage="0" equalAverage="0" bottom="0" percent="0" rank="0" text="" dxfId="0">
      <formula>ISNUMBER(SEARCH("INCOMPLETE",I24))</formula>
    </cfRule>
    <cfRule type="expression" priority="213" aboveAverage="0" equalAverage="0" bottom="0" percent="0" rank="0" text="" dxfId="0">
      <formula>ISNUMBER(SEARCH("ALERT",I24))</formula>
    </cfRule>
    <cfRule type="expression" priority="214" aboveAverage="0" equalAverage="0" bottom="0" percent="0" rank="0" text="" dxfId="0">
      <formula>ISNUMBER(SEARCH("BELOW",I24))</formula>
    </cfRule>
    <cfRule type="expression" priority="215" aboveAverage="0" equalAverage="0" bottom="0" percent="0" rank="0" text="" dxfId="0">
      <formula>ISNUMBER(SEARCH("FAIL",I24))</formula>
    </cfRule>
    <cfRule type="expression" priority="216" aboveAverage="0" equalAverage="0" bottom="0" percent="0" rank="0" text="" dxfId="0">
      <formula>ISNUMBER(SEARCH("STAGNANT",I24))</formula>
    </cfRule>
    <cfRule type="expression" priority="217" aboveAverage="0" equalAverage="0" bottom="0" percent="0" rank="0" text="" dxfId="0">
      <formula>ISNUMBER(SEARCH("MISSING",I24))</formula>
    </cfRule>
    <cfRule type="expression" priority="218" aboveAverage="0" equalAverage="0" bottom="0" percent="0" rank="0" text="" dxfId="0">
      <formula>ISNUMBER(SEARCH("PLANTED",I24))</formula>
    </cfRule>
    <cfRule type="expression" priority="219" aboveAverage="0" equalAverage="0" bottom="0" percent="0" rank="0" text="" dxfId="0">
      <formula>ISNUMBER(SEARCH("WRITE WITHOUT",I24))</formula>
    </cfRule>
    <cfRule type="expression" priority="220" aboveAverage="0" equalAverage="0" bottom="0" percent="0" rank="0" text="" dxfId="0">
      <formula>ISNUMBER(SEARCH("CHALLENGE",I24))</formula>
    </cfRule>
    <cfRule type="expression" priority="221" aboveAverage="0" equalAverage="0" bottom="0" percent="0" rank="0" text="" dxfId="0">
      <formula>ISNUMBER(SEARCH("NOT STARTED",I24))</formula>
    </cfRule>
    <cfRule type="expression" priority="222" aboveAverage="0" equalAverage="0" bottom="0" percent="0" rank="0" text="" dxfId="0">
      <formula>ISNUMBER(SEARCH("DISCUSS",I24))</formula>
    </cfRule>
    <cfRule type="expression" priority="223" aboveAverage="0" equalAverage="0" bottom="0" percent="0" rank="0" text="" dxfId="0">
      <formula>ISNUMBER(SEARCH("UNSIGNED",I24))</formula>
    </cfRule>
    <cfRule type="expression" priority="224" aboveAverage="0" equalAverage="0" bottom="0" percent="0" rank="0" text="" dxfId="0">
      <formula>ISNUMBER(SEARCH("FALSE ALARM",I24))</formula>
    </cfRule>
    <cfRule type="expression" priority="225" aboveAverage="0" equalAverage="0" bottom="0" percent="0" rank="0" text="" dxfId="0">
      <formula>ISNUMBER(SEARCH("MISSED",I24))</formula>
    </cfRule>
    <cfRule type="expression" priority="226" aboveAverage="0" equalAverage="0" bottom="0" percent="0" rank="0" text="" dxfId="0">
      <formula>ISNUMBER(SEARCH("COSTUME",I24))</formula>
    </cfRule>
    <cfRule type="expression" priority="227" aboveAverage="0" equalAverage="0" bottom="0" percent="0" rank="0" text="" dxfId="0">
      <formula>ISNUMBER(SEARCH("PROMISE WITHOUT",I24))</formula>
    </cfRule>
    <cfRule type="expression" priority="228" aboveAverage="0" equalAverage="0" bottom="0" percent="0" rank="0" text="" dxfId="1">
      <formula>ISNUMBER(SEARCH("BORDERLINE",I24))</formula>
    </cfRule>
    <cfRule type="expression" priority="229" aboveAverage="0" equalAverage="0" bottom="0" percent="0" rank="0" text="" dxfId="1">
      <formula>ISNUMBER(SEARCH("WORKFLOW",I24))</formula>
    </cfRule>
    <cfRule type="expression" priority="230" aboveAverage="0" equalAverage="0" bottom="0" percent="0" rank="0" text="" dxfId="1">
      <formula>ISNUMBER(SEARCH("PENDING",I24))</formula>
    </cfRule>
    <cfRule type="expression" priority="231" aboveAverage="0" equalAverage="0" bottom="0" percent="0" rank="0" text="" dxfId="1">
      <formula>ISNUMBER(SEARCH("ADVISORY",I24))</formula>
    </cfRule>
    <cfRule type="expression" priority="232" aboveAverage="0" equalAverage="0" bottom="0" percent="0" rank="0" text="" dxfId="1">
      <formula>ISNUMBER(SEARCH("ABOVE",I24))</formula>
    </cfRule>
    <cfRule type="expression" priority="233" aboveAverage="0" equalAverage="0" bottom="0" percent="0" rank="0" text="" dxfId="1">
      <formula>ISNUMBER(SEARCH("TUNE",I24))</formula>
    </cfRule>
    <cfRule type="expression" priority="234" aboveAverage="0" equalAverage="0" bottom="0" percent="0" rank="0" text="" dxfId="1">
      <formula>ISNUMBER(SEARCH("REVIEW",I24))</formula>
    </cfRule>
    <cfRule type="expression" priority="235" aboveAverage="0" equalAverage="0" bottom="0" percent="0" rank="0" text="" dxfId="1">
      <formula>ISNUMBER(SEARCH("DECIDE",I24))</formula>
    </cfRule>
    <cfRule type="expression" priority="236" aboveAverage="0" equalAverage="0" bottom="0" percent="0" rank="0" text="" dxfId="1">
      <formula>ISNUMBER(SEARCH("IN PROGRESS",I24))</formula>
    </cfRule>
    <cfRule type="expression" priority="237" aboveAverage="0" equalAverage="0" bottom="0" percent="0" rank="0" text="" dxfId="1">
      <formula>ISNUMBER(SEARCH("PARTIAL",I24))</formula>
    </cfRule>
    <cfRule type="expression" priority="238" aboveAverage="0" equalAverage="0" bottom="0" percent="0" rank="0" text="" dxfId="1">
      <formula>ISNUMBER(SEARCH("NO DATA",I24))</formula>
    </cfRule>
    <cfRule type="expression" priority="239" aboveAverage="0" equalAverage="0" bottom="0" percent="0" rank="0" text="" dxfId="1">
      <formula>ISNUMBER(SEARCH("NOT RUN",I24))</formula>
    </cfRule>
    <cfRule type="expression" priority="240" aboveAverage="0" equalAverage="0" bottom="0" percent="0" rank="0" text="" dxfId="1">
      <formula>ISNUMBER(SEARCH("EVALUATE",I24))</formula>
    </cfRule>
    <cfRule type="expression" priority="241" aboveAverage="0" equalAverage="0" bottom="0" percent="0" rank="0" text="" dxfId="1">
      <formula>ISNUMBER(SEARCH("TIGHTEN",I24))</formula>
    </cfRule>
    <cfRule type="expression" priority="242" aboveAverage="0" equalAverage="0" bottom="0" percent="0" rank="0" text="" dxfId="1">
      <formula>ISNUMBER(SEARCH("LOOSEN",I24))</formula>
    </cfRule>
    <cfRule type="expression" priority="243" aboveAverage="0" equalAverage="0" bottom="0" percent="0" rank="0" text="" dxfId="1">
      <formula>ISNUMBER(SEARCH("WEAK",I24))</formula>
    </cfRule>
    <cfRule type="expression" priority="244" aboveAverage="0" equalAverage="0" bottom="0" percent="0" rank="0" text="" dxfId="1">
      <formula>ISNUMBER(SEARCH("ADJACENT",I24))</formula>
    </cfRule>
    <cfRule type="expression" priority="245" aboveAverage="0" equalAverage="0" bottom="0" percent="0" rank="0" text="" dxfId="1">
      <formula>ISNUMBER(SEARCH("GAPS",I24))</formula>
    </cfRule>
    <cfRule type="expression" priority="246" aboveAverage="0" equalAverage="0" bottom="0" percent="0" rank="0" text="" dxfId="1">
      <formula>ISNUMBER(SEARCH("ADD ONE",I24))</formula>
    </cfRule>
    <cfRule type="expression" priority="247" aboveAverage="0" equalAverage="0" bottom="0" percent="0" rank="0" text="" dxfId="1">
      <formula>ISNUMBER(SEARCH("⚠",I24))</formula>
    </cfRule>
    <cfRule type="expression" priority="248" aboveAverage="0" equalAverage="0" bottom="0" percent="0" rank="0" text="" dxfId="2">
      <formula>ISNUMBER(SEARCH("PASS",I24))</formula>
    </cfRule>
    <cfRule type="expression" priority="249" aboveAverage="0" equalAverage="0" bottom="0" percent="0" rank="0" text="" dxfId="2">
      <formula>ISNUMBER(SEARCH("GO",I24))</formula>
    </cfRule>
    <cfRule type="expression" priority="250" aboveAverage="0" equalAverage="0" bottom="0" percent="0" rank="0" text="" dxfId="2">
      <formula>ISNUMBER(SEARCH("BUILD",I24))</formula>
    </cfRule>
    <cfRule type="expression" priority="251" aboveAverage="0" equalAverage="0" bottom="0" percent="0" rank="0" text="" dxfId="2">
      <formula>ISNUMBER(SEARCH("COMPLETE",I24))</formula>
    </cfRule>
    <cfRule type="expression" priority="252" aboveAverage="0" equalAverage="0" bottom="0" percent="0" rank="0" text="" dxfId="2">
      <formula>ISNUMBER(SEARCH("ELIGIBLE",I24))</formula>
    </cfRule>
    <cfRule type="expression" priority="253" aboveAverage="0" equalAverage="0" bottom="0" percent="0" rank="0" text="" dxfId="2">
      <formula>ISNUMBER(SEARCH("SHIP",I24))</formula>
    </cfRule>
    <cfRule type="expression" priority="254" aboveAverage="0" equalAverage="0" bottom="0" percent="0" rank="0" text="" dxfId="2">
      <formula>ISNUMBER(SEARCH("ON TARGET",I24))</formula>
    </cfRule>
    <cfRule type="expression" priority="255" aboveAverage="0" equalAverage="0" bottom="0" percent="0" rank="0" text="" dxfId="2">
      <formula>ISNUMBER(SEARCH("ON TRACK",I24))</formula>
    </cfRule>
    <cfRule type="expression" priority="256" aboveAverage="0" equalAverage="0" bottom="0" percent="0" rank="0" text="" dxfId="2">
      <formula>ISNUMBER(SEARCH("RESOLVED",I24))</formula>
    </cfRule>
    <cfRule type="expression" priority="257" aboveAverage="0" equalAverage="0" bottom="0" percent="0" rank="0" text="" dxfId="2">
      <formula>ISNUMBER(SEARCH("OK",I24))</formula>
    </cfRule>
    <cfRule type="expression" priority="258" aboveAverage="0" equalAverage="0" bottom="0" percent="0" rank="0" text="" dxfId="2">
      <formula>ISNUMBER(SEARCH("MATCH",I24))</formula>
    </cfRule>
    <cfRule type="expression" priority="259" aboveAverage="0" equalAverage="0" bottom="0" percent="0" rank="0" text="" dxfId="2">
      <formula>ISNUMBER(SEARCH("SOUND",I24))</formula>
    </cfRule>
    <cfRule type="expression" priority="260" aboveAverage="0" equalAverage="0" bottom="0" percent="0" rank="0" text="" dxfId="2">
      <formula>ISNUMBER(SEARCH("WITHIN",I24))</formula>
    </cfRule>
    <cfRule type="expression" priority="261" aboveAverage="0" equalAverage="0" bottom="0" percent="0" rank="0" text="" dxfId="2">
      <formula>ISNUMBER(SEARCH("DONE",I24))</formula>
    </cfRule>
    <cfRule type="expression" priority="262" aboveAverage="0" equalAverage="0" bottom="0" percent="0" rank="0" text="" dxfId="2">
      <formula>ISNUMBER(SEARCH("SIGNED",I24))</formula>
    </cfRule>
    <cfRule type="expression" priority="263" aboveAverage="0" equalAverage="0" bottom="0" percent="0" rank="0" text="" dxfId="2">
      <formula>ISNUMBER(SEARCH("✓",I24))</formula>
    </cfRule>
    <cfRule type="expression" priority="264" aboveAverage="0" equalAverage="0" bottom="0" percent="0" rank="0" text="" dxfId="2">
      <formula>ISNUMBER(SEARCH("KEEP",I24))</formula>
    </cfRule>
    <cfRule type="expression" priority="265" aboveAverage="0" equalAverage="0" bottom="0" percent="0" rank="0" text="" dxfId="2">
      <formula>ISNUMBER(SEARCH("DEV-READY",I24))</formula>
    </cfRule>
    <cfRule type="expression" priority="266" aboveAverage="0" equalAverage="0" bottom="0" percent="0" rank="0" text="" dxfId="2">
      <formula>ISNUMBER(SEARCH("GREW",I24))</formula>
    </cfRule>
    <cfRule type="expression" priority="267" aboveAverage="0" equalAverage="0" bottom="0" percent="0" rank="0" text="" dxfId="2">
      <formula>ISNUMBER(SEARCH("HIT",I24))</formula>
    </cfRule>
    <cfRule type="expression" priority="268" aboveAverage="0" equalAverage="0" bottom="0" percent="0" rank="0" text="" dxfId="2">
      <formula>ISNUMBER(SEARCH("CORRECT",I24))</formula>
    </cfRule>
    <cfRule type="expression" priority="269" aboveAverage="0" equalAverage="0" bottom="0" percent="0" rank="0" text="" dxfId="2">
      <formula>ISNUMBER(SEARCH("STAY",I24))</formula>
    </cfRule>
  </conditionalFormatting>
  <conditionalFormatting sqref="H24:H26">
    <cfRule type="expression" priority="270" aboveAverage="0" equalAverage="0" bottom="0" percent="0" rank="0" text="" dxfId="0">
      <formula>ISNUMBER(SEARCH("NO-GO",H24))</formula>
    </cfRule>
    <cfRule type="expression" priority="271" aboveAverage="0" equalAverage="0" bottom="0" percent="0" rank="0" text="" dxfId="0">
      <formula>ISNUMBER(SEARCH("HOLD",H24))</formula>
    </cfRule>
    <cfRule type="expression" priority="272" aboveAverage="0" equalAverage="0" bottom="0" percent="0" rank="0" text="" dxfId="0">
      <formula>ISNUMBER(SEARCH("KILL",H24))</formula>
    </cfRule>
    <cfRule type="expression" priority="273" aboveAverage="0" equalAverage="0" bottom="0" percent="0" rank="0" text="" dxfId="0">
      <formula>ISNUMBER(SEARCH("BLOCKED",H24))</formula>
    </cfRule>
    <cfRule type="expression" priority="274" aboveAverage="0" equalAverage="0" bottom="0" percent="0" rank="0" text="" dxfId="0">
      <formula>ISNUMBER(SEARCH("INVALID",H24))</formula>
    </cfRule>
    <cfRule type="expression" priority="275" aboveAverage="0" equalAverage="0" bottom="0" percent="0" rank="0" text="" dxfId="0">
      <formula>ISNUMBER(SEARCH("VIOLATION",H24))</formula>
    </cfRule>
    <cfRule type="expression" priority="276" aboveAverage="0" equalAverage="0" bottom="0" percent="0" rank="0" text="" dxfId="0">
      <formula>ISNUMBER(SEARCH("UNDER-SLACKED",H24))</formula>
    </cfRule>
    <cfRule type="expression" priority="277" aboveAverage="0" equalAverage="0" bottom="0" percent="0" rank="0" text="" dxfId="0">
      <formula>ISNUMBER(SEARCH("NOT YET",H24))</formula>
    </cfRule>
    <cfRule type="expression" priority="278" aboveAverage="0" equalAverage="0" bottom="0" percent="0" rank="0" text="" dxfId="0">
      <formula>ISNUMBER(SEARCH("HALF",H24))</formula>
    </cfRule>
    <cfRule type="expression" priority="279" aboveAverage="0" equalAverage="0" bottom="0" percent="0" rank="0" text="" dxfId="0">
      <formula>ISNUMBER(SEARCH("INCOMPLETE",H24))</formula>
    </cfRule>
    <cfRule type="expression" priority="280" aboveAverage="0" equalAverage="0" bottom="0" percent="0" rank="0" text="" dxfId="0">
      <formula>ISNUMBER(SEARCH("ALERT",H24))</formula>
    </cfRule>
    <cfRule type="expression" priority="281" aboveAverage="0" equalAverage="0" bottom="0" percent="0" rank="0" text="" dxfId="0">
      <formula>ISNUMBER(SEARCH("BELOW",H24))</formula>
    </cfRule>
    <cfRule type="expression" priority="282" aboveAverage="0" equalAverage="0" bottom="0" percent="0" rank="0" text="" dxfId="0">
      <formula>ISNUMBER(SEARCH("FAIL",H24))</formula>
    </cfRule>
    <cfRule type="expression" priority="283" aboveAverage="0" equalAverage="0" bottom="0" percent="0" rank="0" text="" dxfId="0">
      <formula>ISNUMBER(SEARCH("STAGNANT",H24))</formula>
    </cfRule>
    <cfRule type="expression" priority="284" aboveAverage="0" equalAverage="0" bottom="0" percent="0" rank="0" text="" dxfId="0">
      <formula>ISNUMBER(SEARCH("MISSING",H24))</formula>
    </cfRule>
    <cfRule type="expression" priority="285" aboveAverage="0" equalAverage="0" bottom="0" percent="0" rank="0" text="" dxfId="0">
      <formula>ISNUMBER(SEARCH("PLANTED",H24))</formula>
    </cfRule>
    <cfRule type="expression" priority="286" aboveAverage="0" equalAverage="0" bottom="0" percent="0" rank="0" text="" dxfId="0">
      <formula>ISNUMBER(SEARCH("WRITE WITHOUT",H24))</formula>
    </cfRule>
    <cfRule type="expression" priority="287" aboveAverage="0" equalAverage="0" bottom="0" percent="0" rank="0" text="" dxfId="0">
      <formula>ISNUMBER(SEARCH("CHALLENGE",H24))</formula>
    </cfRule>
    <cfRule type="expression" priority="288" aboveAverage="0" equalAverage="0" bottom="0" percent="0" rank="0" text="" dxfId="0">
      <formula>ISNUMBER(SEARCH("NOT STARTED",H24))</formula>
    </cfRule>
    <cfRule type="expression" priority="289" aboveAverage="0" equalAverage="0" bottom="0" percent="0" rank="0" text="" dxfId="0">
      <formula>ISNUMBER(SEARCH("DISCUSS",H24))</formula>
    </cfRule>
    <cfRule type="expression" priority="290" aboveAverage="0" equalAverage="0" bottom="0" percent="0" rank="0" text="" dxfId="0">
      <formula>ISNUMBER(SEARCH("UNSIGNED",H24))</formula>
    </cfRule>
    <cfRule type="expression" priority="291" aboveAverage="0" equalAverage="0" bottom="0" percent="0" rank="0" text="" dxfId="0">
      <formula>ISNUMBER(SEARCH("FALSE ALARM",H24))</formula>
    </cfRule>
    <cfRule type="expression" priority="292" aboveAverage="0" equalAverage="0" bottom="0" percent="0" rank="0" text="" dxfId="0">
      <formula>ISNUMBER(SEARCH("MISSED",H24))</formula>
    </cfRule>
    <cfRule type="expression" priority="293" aboveAverage="0" equalAverage="0" bottom="0" percent="0" rank="0" text="" dxfId="0">
      <formula>ISNUMBER(SEARCH("COSTUME",H24))</formula>
    </cfRule>
    <cfRule type="expression" priority="294" aboveAverage="0" equalAverage="0" bottom="0" percent="0" rank="0" text="" dxfId="0">
      <formula>ISNUMBER(SEARCH("PROMISE WITHOUT",H24))</formula>
    </cfRule>
    <cfRule type="expression" priority="295" aboveAverage="0" equalAverage="0" bottom="0" percent="0" rank="0" text="" dxfId="1">
      <formula>ISNUMBER(SEARCH("BORDERLINE",H24))</formula>
    </cfRule>
    <cfRule type="expression" priority="296" aboveAverage="0" equalAverage="0" bottom="0" percent="0" rank="0" text="" dxfId="1">
      <formula>ISNUMBER(SEARCH("WORKFLOW",H24))</formula>
    </cfRule>
    <cfRule type="expression" priority="297" aboveAverage="0" equalAverage="0" bottom="0" percent="0" rank="0" text="" dxfId="1">
      <formula>ISNUMBER(SEARCH("PENDING",H24))</formula>
    </cfRule>
    <cfRule type="expression" priority="298" aboveAverage="0" equalAverage="0" bottom="0" percent="0" rank="0" text="" dxfId="1">
      <formula>ISNUMBER(SEARCH("ADVISORY",H24))</formula>
    </cfRule>
    <cfRule type="expression" priority="299" aboveAverage="0" equalAverage="0" bottom="0" percent="0" rank="0" text="" dxfId="1">
      <formula>ISNUMBER(SEARCH("ABOVE",H24))</formula>
    </cfRule>
    <cfRule type="expression" priority="300" aboveAverage="0" equalAverage="0" bottom="0" percent="0" rank="0" text="" dxfId="1">
      <formula>ISNUMBER(SEARCH("TUNE",H24))</formula>
    </cfRule>
    <cfRule type="expression" priority="301" aboveAverage="0" equalAverage="0" bottom="0" percent="0" rank="0" text="" dxfId="1">
      <formula>ISNUMBER(SEARCH("REVIEW",H24))</formula>
    </cfRule>
    <cfRule type="expression" priority="302" aboveAverage="0" equalAverage="0" bottom="0" percent="0" rank="0" text="" dxfId="1">
      <formula>ISNUMBER(SEARCH("DECIDE",H24))</formula>
    </cfRule>
    <cfRule type="expression" priority="303" aboveAverage="0" equalAverage="0" bottom="0" percent="0" rank="0" text="" dxfId="1">
      <formula>ISNUMBER(SEARCH("IN PROGRESS",H24))</formula>
    </cfRule>
    <cfRule type="expression" priority="304" aboveAverage="0" equalAverage="0" bottom="0" percent="0" rank="0" text="" dxfId="1">
      <formula>ISNUMBER(SEARCH("PARTIAL",H24))</formula>
    </cfRule>
    <cfRule type="expression" priority="305" aboveAverage="0" equalAverage="0" bottom="0" percent="0" rank="0" text="" dxfId="1">
      <formula>ISNUMBER(SEARCH("NO DATA",H24))</formula>
    </cfRule>
    <cfRule type="expression" priority="306" aboveAverage="0" equalAverage="0" bottom="0" percent="0" rank="0" text="" dxfId="1">
      <formula>ISNUMBER(SEARCH("NOT RUN",H24))</formula>
    </cfRule>
    <cfRule type="expression" priority="307" aboveAverage="0" equalAverage="0" bottom="0" percent="0" rank="0" text="" dxfId="1">
      <formula>ISNUMBER(SEARCH("EVALUATE",H24))</formula>
    </cfRule>
    <cfRule type="expression" priority="308" aboveAverage="0" equalAverage="0" bottom="0" percent="0" rank="0" text="" dxfId="1">
      <formula>ISNUMBER(SEARCH("TIGHTEN",H24))</formula>
    </cfRule>
    <cfRule type="expression" priority="309" aboveAverage="0" equalAverage="0" bottom="0" percent="0" rank="0" text="" dxfId="1">
      <formula>ISNUMBER(SEARCH("LOOSEN",H24))</formula>
    </cfRule>
    <cfRule type="expression" priority="310" aboveAverage="0" equalAverage="0" bottom="0" percent="0" rank="0" text="" dxfId="1">
      <formula>ISNUMBER(SEARCH("WEAK",H24))</formula>
    </cfRule>
    <cfRule type="expression" priority="311" aboveAverage="0" equalAverage="0" bottom="0" percent="0" rank="0" text="" dxfId="1">
      <formula>ISNUMBER(SEARCH("ADJACENT",H24))</formula>
    </cfRule>
    <cfRule type="expression" priority="312" aboveAverage="0" equalAverage="0" bottom="0" percent="0" rank="0" text="" dxfId="1">
      <formula>ISNUMBER(SEARCH("GAPS",H24))</formula>
    </cfRule>
    <cfRule type="expression" priority="313" aboveAverage="0" equalAverage="0" bottom="0" percent="0" rank="0" text="" dxfId="1">
      <formula>ISNUMBER(SEARCH("ADD ONE",H24))</formula>
    </cfRule>
    <cfRule type="expression" priority="314" aboveAverage="0" equalAverage="0" bottom="0" percent="0" rank="0" text="" dxfId="1">
      <formula>ISNUMBER(SEARCH("⚠",H24))</formula>
    </cfRule>
    <cfRule type="expression" priority="315" aboveAverage="0" equalAverage="0" bottom="0" percent="0" rank="0" text="" dxfId="2">
      <formula>ISNUMBER(SEARCH("PASS",H24))</formula>
    </cfRule>
    <cfRule type="expression" priority="316" aboveAverage="0" equalAverage="0" bottom="0" percent="0" rank="0" text="" dxfId="2">
      <formula>ISNUMBER(SEARCH("GO",H24))</formula>
    </cfRule>
    <cfRule type="expression" priority="317" aboveAverage="0" equalAverage="0" bottom="0" percent="0" rank="0" text="" dxfId="2">
      <formula>ISNUMBER(SEARCH("BUILD",H24))</formula>
    </cfRule>
    <cfRule type="expression" priority="318" aboveAverage="0" equalAverage="0" bottom="0" percent="0" rank="0" text="" dxfId="2">
      <formula>ISNUMBER(SEARCH("COMPLETE",H24))</formula>
    </cfRule>
    <cfRule type="expression" priority="319" aboveAverage="0" equalAverage="0" bottom="0" percent="0" rank="0" text="" dxfId="2">
      <formula>ISNUMBER(SEARCH("ELIGIBLE",H24))</formula>
    </cfRule>
    <cfRule type="expression" priority="320" aboveAverage="0" equalAverage="0" bottom="0" percent="0" rank="0" text="" dxfId="2">
      <formula>ISNUMBER(SEARCH("SHIP",H24))</formula>
    </cfRule>
    <cfRule type="expression" priority="321" aboveAverage="0" equalAverage="0" bottom="0" percent="0" rank="0" text="" dxfId="2">
      <formula>ISNUMBER(SEARCH("ON TARGET",H24))</formula>
    </cfRule>
    <cfRule type="expression" priority="322" aboveAverage="0" equalAverage="0" bottom="0" percent="0" rank="0" text="" dxfId="2">
      <formula>ISNUMBER(SEARCH("ON TRACK",H24))</formula>
    </cfRule>
    <cfRule type="expression" priority="323" aboveAverage="0" equalAverage="0" bottom="0" percent="0" rank="0" text="" dxfId="2">
      <formula>ISNUMBER(SEARCH("RESOLVED",H24))</formula>
    </cfRule>
    <cfRule type="expression" priority="324" aboveAverage="0" equalAverage="0" bottom="0" percent="0" rank="0" text="" dxfId="2">
      <formula>ISNUMBER(SEARCH("OK",H24))</formula>
    </cfRule>
    <cfRule type="expression" priority="325" aboveAverage="0" equalAverage="0" bottom="0" percent="0" rank="0" text="" dxfId="2">
      <formula>ISNUMBER(SEARCH("MATCH",H24))</formula>
    </cfRule>
    <cfRule type="expression" priority="326" aboveAverage="0" equalAverage="0" bottom="0" percent="0" rank="0" text="" dxfId="2">
      <formula>ISNUMBER(SEARCH("SOUND",H24))</formula>
    </cfRule>
    <cfRule type="expression" priority="327" aboveAverage="0" equalAverage="0" bottom="0" percent="0" rank="0" text="" dxfId="2">
      <formula>ISNUMBER(SEARCH("WITHIN",H24))</formula>
    </cfRule>
    <cfRule type="expression" priority="328" aboveAverage="0" equalAverage="0" bottom="0" percent="0" rank="0" text="" dxfId="2">
      <formula>ISNUMBER(SEARCH("DONE",H24))</formula>
    </cfRule>
    <cfRule type="expression" priority="329" aboveAverage="0" equalAverage="0" bottom="0" percent="0" rank="0" text="" dxfId="2">
      <formula>ISNUMBER(SEARCH("SIGNED",H24))</formula>
    </cfRule>
    <cfRule type="expression" priority="330" aboveAverage="0" equalAverage="0" bottom="0" percent="0" rank="0" text="" dxfId="2">
      <formula>ISNUMBER(SEARCH("✓",H24))</formula>
    </cfRule>
    <cfRule type="expression" priority="331" aboveAverage="0" equalAverage="0" bottom="0" percent="0" rank="0" text="" dxfId="2">
      <formula>ISNUMBER(SEARCH("KEEP",H24))</formula>
    </cfRule>
    <cfRule type="expression" priority="332" aboveAverage="0" equalAverage="0" bottom="0" percent="0" rank="0" text="" dxfId="2">
      <formula>ISNUMBER(SEARCH("DEV-READY",H24))</formula>
    </cfRule>
    <cfRule type="expression" priority="333" aboveAverage="0" equalAverage="0" bottom="0" percent="0" rank="0" text="" dxfId="2">
      <formula>ISNUMBER(SEARCH("GREW",H24))</formula>
    </cfRule>
    <cfRule type="expression" priority="334" aboveAverage="0" equalAverage="0" bottom="0" percent="0" rank="0" text="" dxfId="2">
      <formula>ISNUMBER(SEARCH("HIT",H24))</formula>
    </cfRule>
    <cfRule type="expression" priority="335" aboveAverage="0" equalAverage="0" bottom="0" percent="0" rank="0" text="" dxfId="2">
      <formula>ISNUMBER(SEARCH("CORRECT",H24))</formula>
    </cfRule>
    <cfRule type="expression" priority="336" aboveAverage="0" equalAverage="0" bottom="0" percent="0" rank="0" text="" dxfId="2">
      <formula>ISNUMBER(SEARCH("STAY",H24))</formula>
    </cfRule>
  </conditionalFormatting>
  <conditionalFormatting sqref="D33:D37">
    <cfRule type="expression" priority="337" aboveAverage="0" equalAverage="0" bottom="0" percent="0" rank="0" text="" dxfId="0">
      <formula>ISNUMBER(SEARCH("NO-GO",D33))</formula>
    </cfRule>
    <cfRule type="expression" priority="338" aboveAverage="0" equalAverage="0" bottom="0" percent="0" rank="0" text="" dxfId="0">
      <formula>ISNUMBER(SEARCH("HOLD",D33))</formula>
    </cfRule>
    <cfRule type="expression" priority="339" aboveAverage="0" equalAverage="0" bottom="0" percent="0" rank="0" text="" dxfId="0">
      <formula>ISNUMBER(SEARCH("KILL",D33))</formula>
    </cfRule>
    <cfRule type="expression" priority="340" aboveAverage="0" equalAverage="0" bottom="0" percent="0" rank="0" text="" dxfId="0">
      <formula>ISNUMBER(SEARCH("BLOCKED",D33))</formula>
    </cfRule>
    <cfRule type="expression" priority="341" aboveAverage="0" equalAverage="0" bottom="0" percent="0" rank="0" text="" dxfId="0">
      <formula>ISNUMBER(SEARCH("INVALID",D33))</formula>
    </cfRule>
    <cfRule type="expression" priority="342" aboveAverage="0" equalAverage="0" bottom="0" percent="0" rank="0" text="" dxfId="0">
      <formula>ISNUMBER(SEARCH("VIOLATION",D33))</formula>
    </cfRule>
    <cfRule type="expression" priority="343" aboveAverage="0" equalAverage="0" bottom="0" percent="0" rank="0" text="" dxfId="0">
      <formula>ISNUMBER(SEARCH("UNDER-SLACKED",D33))</formula>
    </cfRule>
    <cfRule type="expression" priority="344" aboveAverage="0" equalAverage="0" bottom="0" percent="0" rank="0" text="" dxfId="0">
      <formula>ISNUMBER(SEARCH("NOT YET",D33))</formula>
    </cfRule>
    <cfRule type="expression" priority="345" aboveAverage="0" equalAverage="0" bottom="0" percent="0" rank="0" text="" dxfId="0">
      <formula>ISNUMBER(SEARCH("HALF",D33))</formula>
    </cfRule>
    <cfRule type="expression" priority="346" aboveAverage="0" equalAverage="0" bottom="0" percent="0" rank="0" text="" dxfId="0">
      <formula>ISNUMBER(SEARCH("INCOMPLETE",D33))</formula>
    </cfRule>
    <cfRule type="expression" priority="347" aboveAverage="0" equalAverage="0" bottom="0" percent="0" rank="0" text="" dxfId="0">
      <formula>ISNUMBER(SEARCH("ALERT",D33))</formula>
    </cfRule>
    <cfRule type="expression" priority="348" aboveAverage="0" equalAverage="0" bottom="0" percent="0" rank="0" text="" dxfId="0">
      <formula>ISNUMBER(SEARCH("BELOW",D33))</formula>
    </cfRule>
    <cfRule type="expression" priority="349" aboveAverage="0" equalAverage="0" bottom="0" percent="0" rank="0" text="" dxfId="0">
      <formula>ISNUMBER(SEARCH("FAIL",D33))</formula>
    </cfRule>
    <cfRule type="expression" priority="350" aboveAverage="0" equalAverage="0" bottom="0" percent="0" rank="0" text="" dxfId="0">
      <formula>ISNUMBER(SEARCH("STAGNANT",D33))</formula>
    </cfRule>
    <cfRule type="expression" priority="351" aboveAverage="0" equalAverage="0" bottom="0" percent="0" rank="0" text="" dxfId="0">
      <formula>ISNUMBER(SEARCH("MISSING",D33))</formula>
    </cfRule>
    <cfRule type="expression" priority="352" aboveAverage="0" equalAverage="0" bottom="0" percent="0" rank="0" text="" dxfId="0">
      <formula>ISNUMBER(SEARCH("PLANTED",D33))</formula>
    </cfRule>
    <cfRule type="expression" priority="353" aboveAverage="0" equalAverage="0" bottom="0" percent="0" rank="0" text="" dxfId="0">
      <formula>ISNUMBER(SEARCH("WRITE WITHOUT",D33))</formula>
    </cfRule>
    <cfRule type="expression" priority="354" aboveAverage="0" equalAverage="0" bottom="0" percent="0" rank="0" text="" dxfId="0">
      <formula>ISNUMBER(SEARCH("CHALLENGE",D33))</formula>
    </cfRule>
    <cfRule type="expression" priority="355" aboveAverage="0" equalAverage="0" bottom="0" percent="0" rank="0" text="" dxfId="0">
      <formula>ISNUMBER(SEARCH("NOT STARTED",D33))</formula>
    </cfRule>
    <cfRule type="expression" priority="356" aboveAverage="0" equalAverage="0" bottom="0" percent="0" rank="0" text="" dxfId="0">
      <formula>ISNUMBER(SEARCH("DISCUSS",D33))</formula>
    </cfRule>
    <cfRule type="expression" priority="357" aboveAverage="0" equalAverage="0" bottom="0" percent="0" rank="0" text="" dxfId="0">
      <formula>ISNUMBER(SEARCH("UNSIGNED",D33))</formula>
    </cfRule>
    <cfRule type="expression" priority="358" aboveAverage="0" equalAverage="0" bottom="0" percent="0" rank="0" text="" dxfId="0">
      <formula>ISNUMBER(SEARCH("FALSE ALARM",D33))</formula>
    </cfRule>
    <cfRule type="expression" priority="359" aboveAverage="0" equalAverage="0" bottom="0" percent="0" rank="0" text="" dxfId="0">
      <formula>ISNUMBER(SEARCH("MISSED",D33))</formula>
    </cfRule>
    <cfRule type="expression" priority="360" aboveAverage="0" equalAverage="0" bottom="0" percent="0" rank="0" text="" dxfId="0">
      <formula>ISNUMBER(SEARCH("COSTUME",D33))</formula>
    </cfRule>
    <cfRule type="expression" priority="361" aboveAverage="0" equalAverage="0" bottom="0" percent="0" rank="0" text="" dxfId="0">
      <formula>ISNUMBER(SEARCH("PROMISE WITHOUT",D33))</formula>
    </cfRule>
    <cfRule type="expression" priority="362" aboveAverage="0" equalAverage="0" bottom="0" percent="0" rank="0" text="" dxfId="1">
      <formula>ISNUMBER(SEARCH("BORDERLINE",D33))</formula>
    </cfRule>
    <cfRule type="expression" priority="363" aboveAverage="0" equalAverage="0" bottom="0" percent="0" rank="0" text="" dxfId="1">
      <formula>ISNUMBER(SEARCH("WORKFLOW",D33))</formula>
    </cfRule>
    <cfRule type="expression" priority="364" aboveAverage="0" equalAverage="0" bottom="0" percent="0" rank="0" text="" dxfId="1">
      <formula>ISNUMBER(SEARCH("PENDING",D33))</formula>
    </cfRule>
    <cfRule type="expression" priority="365" aboveAverage="0" equalAverage="0" bottom="0" percent="0" rank="0" text="" dxfId="1">
      <formula>ISNUMBER(SEARCH("ADVISORY",D33))</formula>
    </cfRule>
    <cfRule type="expression" priority="366" aboveAverage="0" equalAverage="0" bottom="0" percent="0" rank="0" text="" dxfId="1">
      <formula>ISNUMBER(SEARCH("ABOVE",D33))</formula>
    </cfRule>
    <cfRule type="expression" priority="367" aboveAverage="0" equalAverage="0" bottom="0" percent="0" rank="0" text="" dxfId="1">
      <formula>ISNUMBER(SEARCH("TUNE",D33))</formula>
    </cfRule>
    <cfRule type="expression" priority="368" aboveAverage="0" equalAverage="0" bottom="0" percent="0" rank="0" text="" dxfId="1">
      <formula>ISNUMBER(SEARCH("REVIEW",D33))</formula>
    </cfRule>
    <cfRule type="expression" priority="369" aboveAverage="0" equalAverage="0" bottom="0" percent="0" rank="0" text="" dxfId="1">
      <formula>ISNUMBER(SEARCH("DECIDE",D33))</formula>
    </cfRule>
    <cfRule type="expression" priority="370" aboveAverage="0" equalAverage="0" bottom="0" percent="0" rank="0" text="" dxfId="1">
      <formula>ISNUMBER(SEARCH("IN PROGRESS",D33))</formula>
    </cfRule>
    <cfRule type="expression" priority="371" aboveAverage="0" equalAverage="0" bottom="0" percent="0" rank="0" text="" dxfId="1">
      <formula>ISNUMBER(SEARCH("PARTIAL",D33))</formula>
    </cfRule>
    <cfRule type="expression" priority="372" aboveAverage="0" equalAverage="0" bottom="0" percent="0" rank="0" text="" dxfId="1">
      <formula>ISNUMBER(SEARCH("NO DATA",D33))</formula>
    </cfRule>
    <cfRule type="expression" priority="373" aboveAverage="0" equalAverage="0" bottom="0" percent="0" rank="0" text="" dxfId="1">
      <formula>ISNUMBER(SEARCH("NOT RUN",D33))</formula>
    </cfRule>
    <cfRule type="expression" priority="374" aboveAverage="0" equalAverage="0" bottom="0" percent="0" rank="0" text="" dxfId="1">
      <formula>ISNUMBER(SEARCH("EVALUATE",D33))</formula>
    </cfRule>
    <cfRule type="expression" priority="375" aboveAverage="0" equalAverage="0" bottom="0" percent="0" rank="0" text="" dxfId="1">
      <formula>ISNUMBER(SEARCH("TIGHTEN",D33))</formula>
    </cfRule>
    <cfRule type="expression" priority="376" aboveAverage="0" equalAverage="0" bottom="0" percent="0" rank="0" text="" dxfId="1">
      <formula>ISNUMBER(SEARCH("LOOSEN",D33))</formula>
    </cfRule>
    <cfRule type="expression" priority="377" aboveAverage="0" equalAverage="0" bottom="0" percent="0" rank="0" text="" dxfId="1">
      <formula>ISNUMBER(SEARCH("WEAK",D33))</formula>
    </cfRule>
    <cfRule type="expression" priority="378" aboveAverage="0" equalAverage="0" bottom="0" percent="0" rank="0" text="" dxfId="1">
      <formula>ISNUMBER(SEARCH("ADJACENT",D33))</formula>
    </cfRule>
    <cfRule type="expression" priority="379" aboveAverage="0" equalAverage="0" bottom="0" percent="0" rank="0" text="" dxfId="1">
      <formula>ISNUMBER(SEARCH("GAPS",D33))</formula>
    </cfRule>
    <cfRule type="expression" priority="380" aboveAverage="0" equalAverage="0" bottom="0" percent="0" rank="0" text="" dxfId="1">
      <formula>ISNUMBER(SEARCH("ADD ONE",D33))</formula>
    </cfRule>
    <cfRule type="expression" priority="381" aboveAverage="0" equalAverage="0" bottom="0" percent="0" rank="0" text="" dxfId="1">
      <formula>ISNUMBER(SEARCH("⚠",D33))</formula>
    </cfRule>
    <cfRule type="expression" priority="382" aboveAverage="0" equalAverage="0" bottom="0" percent="0" rank="0" text="" dxfId="2">
      <formula>ISNUMBER(SEARCH("PASS",D33))</formula>
    </cfRule>
    <cfRule type="expression" priority="383" aboveAverage="0" equalAverage="0" bottom="0" percent="0" rank="0" text="" dxfId="2">
      <formula>ISNUMBER(SEARCH("GO",D33))</formula>
    </cfRule>
    <cfRule type="expression" priority="384" aboveAverage="0" equalAverage="0" bottom="0" percent="0" rank="0" text="" dxfId="2">
      <formula>ISNUMBER(SEARCH("BUILD",D33))</formula>
    </cfRule>
    <cfRule type="expression" priority="385" aboveAverage="0" equalAverage="0" bottom="0" percent="0" rank="0" text="" dxfId="2">
      <formula>ISNUMBER(SEARCH("COMPLETE",D33))</formula>
    </cfRule>
    <cfRule type="expression" priority="386" aboveAverage="0" equalAverage="0" bottom="0" percent="0" rank="0" text="" dxfId="2">
      <formula>ISNUMBER(SEARCH("ELIGIBLE",D33))</formula>
    </cfRule>
    <cfRule type="expression" priority="387" aboveAverage="0" equalAverage="0" bottom="0" percent="0" rank="0" text="" dxfId="2">
      <formula>ISNUMBER(SEARCH("SHIP",D33))</formula>
    </cfRule>
    <cfRule type="expression" priority="388" aboveAverage="0" equalAverage="0" bottom="0" percent="0" rank="0" text="" dxfId="2">
      <formula>ISNUMBER(SEARCH("ON TARGET",D33))</formula>
    </cfRule>
    <cfRule type="expression" priority="389" aboveAverage="0" equalAverage="0" bottom="0" percent="0" rank="0" text="" dxfId="2">
      <formula>ISNUMBER(SEARCH("ON TRACK",D33))</formula>
    </cfRule>
    <cfRule type="expression" priority="390" aboveAverage="0" equalAverage="0" bottom="0" percent="0" rank="0" text="" dxfId="2">
      <formula>ISNUMBER(SEARCH("RESOLVED",D33))</formula>
    </cfRule>
    <cfRule type="expression" priority="391" aboveAverage="0" equalAverage="0" bottom="0" percent="0" rank="0" text="" dxfId="2">
      <formula>ISNUMBER(SEARCH("OK",D33))</formula>
    </cfRule>
    <cfRule type="expression" priority="392" aboveAverage="0" equalAverage="0" bottom="0" percent="0" rank="0" text="" dxfId="2">
      <formula>ISNUMBER(SEARCH("MATCH",D33))</formula>
    </cfRule>
    <cfRule type="expression" priority="393" aboveAverage="0" equalAverage="0" bottom="0" percent="0" rank="0" text="" dxfId="2">
      <formula>ISNUMBER(SEARCH("SOUND",D33))</formula>
    </cfRule>
    <cfRule type="expression" priority="394" aboveAverage="0" equalAverage="0" bottom="0" percent="0" rank="0" text="" dxfId="2">
      <formula>ISNUMBER(SEARCH("WITHIN",D33))</formula>
    </cfRule>
    <cfRule type="expression" priority="395" aboveAverage="0" equalAverage="0" bottom="0" percent="0" rank="0" text="" dxfId="2">
      <formula>ISNUMBER(SEARCH("DONE",D33))</formula>
    </cfRule>
    <cfRule type="expression" priority="396" aboveAverage="0" equalAverage="0" bottom="0" percent="0" rank="0" text="" dxfId="2">
      <formula>ISNUMBER(SEARCH("SIGNED",D33))</formula>
    </cfRule>
    <cfRule type="expression" priority="397" aboveAverage="0" equalAverage="0" bottom="0" percent="0" rank="0" text="" dxfId="2">
      <formula>ISNUMBER(SEARCH("✓",D33))</formula>
    </cfRule>
    <cfRule type="expression" priority="398" aboveAverage="0" equalAverage="0" bottom="0" percent="0" rank="0" text="" dxfId="2">
      <formula>ISNUMBER(SEARCH("KEEP",D33))</formula>
    </cfRule>
    <cfRule type="expression" priority="399" aboveAverage="0" equalAverage="0" bottom="0" percent="0" rank="0" text="" dxfId="2">
      <formula>ISNUMBER(SEARCH("DEV-READY",D33))</formula>
    </cfRule>
    <cfRule type="expression" priority="400" aboveAverage="0" equalAverage="0" bottom="0" percent="0" rank="0" text="" dxfId="2">
      <formula>ISNUMBER(SEARCH("GREW",D33))</formula>
    </cfRule>
    <cfRule type="expression" priority="401" aboveAverage="0" equalAverage="0" bottom="0" percent="0" rank="0" text="" dxfId="2">
      <formula>ISNUMBER(SEARCH("HIT",D33))</formula>
    </cfRule>
    <cfRule type="expression" priority="402" aboveAverage="0" equalAverage="0" bottom="0" percent="0" rank="0" text="" dxfId="2">
      <formula>ISNUMBER(SEARCH("CORRECT",D33))</formula>
    </cfRule>
    <cfRule type="expression" priority="403" aboveAverage="0" equalAverage="0" bottom="0" percent="0" rank="0" text="" dxfId="2">
      <formula>ISNUMBER(SEARCH("STAY",D33))</formula>
    </cfRule>
  </conditionalFormatting>
  <dataValidations count="5">
    <dataValidation allowBlank="true" errorStyle="stop" operator="between" showDropDown="false" showErrorMessage="false" showInputMessage="false" sqref="D6:D10" type="list">
      <formula1>"0,1,2"</formula1>
      <formula2>0</formula2>
    </dataValidation>
    <dataValidation allowBlank="true" errorStyle="stop" operator="between" showDropDown="false" showErrorMessage="false" showInputMessage="false" sqref="C15:C20" type="list">
      <formula1>"YES,NO"</formula1>
      <formula2>0</formula2>
    </dataValidation>
    <dataValidation allowBlank="true" errorStyle="stop" operator="between" showDropDown="false" showErrorMessage="false" showInputMessage="false" sqref="D15:D20" type="list">
      <formula1>"Model decides,Model drafts — rules decide,Rules only"</formula1>
      <formula2>0</formula2>
    </dataValidation>
    <dataValidation allowBlank="true" errorStyle="stop" operator="between" showDropDown="false" showErrorMessage="false" showInputMessage="false" sqref="C24:C26" type="list">
      <formula1>"Random sample,Stratified,Cherry-picked,Synthetic"</formula1>
      <formula2>0</formula2>
    </dataValidation>
    <dataValidation allowBlank="true" errorStyle="stop" operator="between" showDropDown="false" showErrorMessage="false" showInputMessage="false" sqref="D33:D3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F4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3"/>
    <col collapsed="false" customWidth="true" hidden="false" outlineLevel="0" max="3" min="3" style="1" width="52"/>
    <col collapsed="false" customWidth="true" hidden="false" outlineLevel="0" max="5" min="4" style="1" width="13"/>
    <col collapsed="false" customWidth="true" hidden="false" outlineLevel="0" max="6" min="6" style="1" width="15"/>
    <col collapsed="false" customWidth="true" hidden="false" outlineLevel="0" max="7" min="7" style="1" width="13"/>
    <col collapsed="false" customWidth="true" hidden="false" outlineLevel="0" max="8" min="8" style="1" width="30"/>
    <col collapsed="false" customWidth="true" hidden="false" outlineLevel="0" max="9" min="9" style="1" width="36"/>
  </cols>
  <sheetData>
    <row r="1" customFormat="false" ht="18" hidden="false" customHeight="true" outlineLevel="0" collapsed="false">
      <c r="A1" s="7" t="s">
        <v>114</v>
      </c>
    </row>
    <row r="2" customFormat="false" ht="23.25" hidden="false" customHeight="true" outlineLevel="0" collapsed="false">
      <c r="A2" s="8" t="s">
        <v>115</v>
      </c>
      <c r="G2" s="15" t="s">
        <v>51</v>
      </c>
      <c r="H2" s="13" t="str">
        <f aca="false">IF(COUNTIF(D23:D26,"YES")=4,"PASS","HOLD")</f>
        <v>HOLD</v>
      </c>
      <c r="I2" s="14" t="str">
        <f aca="false">COUNTIF(H6:H10,"COMPLETE")&amp;" of 5 sampled ACs complete · "&amp;COUNTIF(F15:F18,"UNSIGNED*")&amp;" threshold(s) unsigned"</f>
        <v>1 of 5 sampled ACs complete · 4 threshold(s) unsigned</v>
      </c>
    </row>
    <row r="4" customFormat="false" ht="15" hidden="false" customHeight="true" outlineLevel="0" collapsed="false">
      <c r="B4" s="4" t="s">
        <v>116</v>
      </c>
    </row>
    <row r="5" customFormat="false" ht="23.25" hidden="false" customHeight="true" outlineLevel="0" collapsed="false">
      <c r="B5" s="11" t="s">
        <v>117</v>
      </c>
      <c r="C5" s="11" t="s">
        <v>118</v>
      </c>
      <c r="D5" s="11" t="s">
        <v>119</v>
      </c>
      <c r="E5" s="11" t="s">
        <v>120</v>
      </c>
      <c r="F5" s="11" t="s">
        <v>121</v>
      </c>
      <c r="G5" s="11" t="s">
        <v>122</v>
      </c>
      <c r="H5" s="11" t="s">
        <v>123</v>
      </c>
    </row>
    <row r="6" customFormat="false" ht="25.5" hidden="false" customHeight="true" outlineLevel="0" collapsed="false">
      <c r="B6" s="12" t="s">
        <v>124</v>
      </c>
      <c r="C6" s="6" t="s">
        <v>125</v>
      </c>
      <c r="D6" s="10" t="s">
        <v>79</v>
      </c>
      <c r="E6" s="10" t="s">
        <v>86</v>
      </c>
      <c r="F6" s="10" t="s">
        <v>79</v>
      </c>
      <c r="G6" s="10" t="s">
        <v>86</v>
      </c>
      <c r="H6" s="13" t="str">
        <f aca="false">IF(COUNTIF(D6:G6,"YES")=4,"COMPLETE",4-COUNTIF(D6:G6,"YES")&amp;" part(s) missing — HALF A REQUIREMENT")</f>
        <v>2 part(s) missing — HALF A REQUIREMENT</v>
      </c>
    </row>
    <row r="7" customFormat="false" ht="25.5" hidden="false" customHeight="true" outlineLevel="0" collapsed="false">
      <c r="B7" s="12" t="s">
        <v>126</v>
      </c>
      <c r="C7" s="6" t="s">
        <v>127</v>
      </c>
      <c r="D7" s="10" t="s">
        <v>79</v>
      </c>
      <c r="E7" s="10" t="s">
        <v>86</v>
      </c>
      <c r="F7" s="10" t="s">
        <v>79</v>
      </c>
      <c r="G7" s="10" t="s">
        <v>86</v>
      </c>
      <c r="H7" s="13" t="str">
        <f aca="false">IF(COUNTIF(D7:G7,"YES")=4,"COMPLETE",4-COUNTIF(D7:G7,"YES")&amp;" part(s) missing — HALF A REQUIREMENT")</f>
        <v>2 part(s) missing — HALF A REQUIREMENT</v>
      </c>
    </row>
    <row r="8" customFormat="false" ht="25.5" hidden="false" customHeight="true" outlineLevel="0" collapsed="false">
      <c r="B8" s="12" t="s">
        <v>128</v>
      </c>
      <c r="C8" s="6" t="s">
        <v>129</v>
      </c>
      <c r="D8" s="10" t="s">
        <v>79</v>
      </c>
      <c r="E8" s="10" t="s">
        <v>86</v>
      </c>
      <c r="F8" s="10" t="s">
        <v>79</v>
      </c>
      <c r="G8" s="10" t="s">
        <v>79</v>
      </c>
      <c r="H8" s="13" t="str">
        <f aca="false">IF(COUNTIF(D8:G8,"YES")=4,"COMPLETE",4-COUNTIF(D8:G8,"YES")&amp;" part(s) missing — HALF A REQUIREMENT")</f>
        <v>1 part(s) missing — HALF A REQUIREMENT</v>
      </c>
    </row>
    <row r="9" customFormat="false" ht="25.5" hidden="false" customHeight="true" outlineLevel="0" collapsed="false">
      <c r="B9" s="12" t="s">
        <v>130</v>
      </c>
      <c r="C9" s="6" t="s">
        <v>131</v>
      </c>
      <c r="D9" s="10" t="s">
        <v>79</v>
      </c>
      <c r="E9" s="10" t="s">
        <v>79</v>
      </c>
      <c r="F9" s="10" t="s">
        <v>79</v>
      </c>
      <c r="G9" s="10" t="s">
        <v>79</v>
      </c>
      <c r="H9" s="13" t="str">
        <f aca="false">IF(COUNTIF(D9:G9,"YES")=4,"COMPLETE",4-COUNTIF(D9:G9,"YES")&amp;" part(s) missing — HALF A REQUIREMENT")</f>
        <v>COMPLETE</v>
      </c>
    </row>
    <row r="10" customFormat="false" ht="25.5" hidden="false" customHeight="true" outlineLevel="0" collapsed="false">
      <c r="B10" s="12" t="s">
        <v>132</v>
      </c>
      <c r="C10" s="6" t="s">
        <v>133</v>
      </c>
      <c r="D10" s="10" t="s">
        <v>79</v>
      </c>
      <c r="E10" s="10" t="s">
        <v>86</v>
      </c>
      <c r="F10" s="10" t="s">
        <v>79</v>
      </c>
      <c r="G10" s="10" t="s">
        <v>79</v>
      </c>
      <c r="H10" s="13" t="str">
        <f aca="false">IF(COUNTIF(D10:G10,"YES")=4,"COMPLETE",4-COUNTIF(D10:G10,"YES")&amp;" part(s) missing — HALF A REQUIREMENT")</f>
        <v>1 part(s) missing — HALF A REQUIREMENT</v>
      </c>
    </row>
    <row r="11" customFormat="false" ht="15" hidden="false" customHeight="true" outlineLevel="0" collapsed="false">
      <c r="B11" s="16" t="s">
        <v>134</v>
      </c>
      <c r="C11" s="16"/>
      <c r="D11" s="16"/>
      <c r="E11" s="16"/>
      <c r="F11" s="16"/>
      <c r="G11" s="16"/>
      <c r="H11" s="16"/>
      <c r="I11" s="16"/>
    </row>
    <row r="13" customFormat="false" ht="15" hidden="false" customHeight="true" outlineLevel="0" collapsed="false">
      <c r="B13" s="4" t="s">
        <v>135</v>
      </c>
    </row>
    <row r="14" customFormat="false" ht="23.25" hidden="false" customHeight="true" outlineLevel="0" collapsed="false">
      <c r="B14" s="11" t="s">
        <v>136</v>
      </c>
      <c r="C14" s="11" t="s">
        <v>137</v>
      </c>
      <c r="D14" s="11" t="s">
        <v>138</v>
      </c>
      <c r="E14" s="11" t="s">
        <v>139</v>
      </c>
      <c r="F14" s="11" t="s">
        <v>140</v>
      </c>
    </row>
    <row r="15" customFormat="false" ht="34.5" hidden="false" customHeight="true" outlineLevel="0" collapsed="false">
      <c r="B15" s="12" t="s">
        <v>141</v>
      </c>
      <c r="C15" s="6" t="s">
        <v>142</v>
      </c>
      <c r="D15" s="17" t="s">
        <v>143</v>
      </c>
      <c r="E15" s="10"/>
      <c r="F15" s="13" t="str">
        <f aca="false">IF(E15="","UNSIGNED — assign an owner","SIGNED")</f>
        <v>UNSIGNED — assign an owner</v>
      </c>
    </row>
    <row r="16" customFormat="false" ht="45.75" hidden="false" customHeight="true" outlineLevel="0" collapsed="false">
      <c r="B16" s="12" t="s">
        <v>144</v>
      </c>
      <c r="C16" s="6" t="s">
        <v>145</v>
      </c>
      <c r="D16" s="17" t="s">
        <v>146</v>
      </c>
      <c r="E16" s="10"/>
      <c r="F16" s="13" t="str">
        <f aca="false">IF(E16="","UNSIGNED — assign an owner","SIGNED")</f>
        <v>UNSIGNED — assign an owner</v>
      </c>
    </row>
    <row r="17" customFormat="false" ht="23.25" hidden="false" customHeight="true" outlineLevel="0" collapsed="false">
      <c r="B17" s="12" t="s">
        <v>147</v>
      </c>
      <c r="C17" s="6" t="s">
        <v>148</v>
      </c>
      <c r="D17" s="17" t="s">
        <v>149</v>
      </c>
      <c r="E17" s="10"/>
      <c r="F17" s="13" t="str">
        <f aca="false">IF(E17="","UNSIGNED — assign an owner","SIGNED")</f>
        <v>UNSIGNED — assign an owner</v>
      </c>
    </row>
    <row r="18" customFormat="false" ht="23.25" hidden="false" customHeight="true" outlineLevel="0" collapsed="false">
      <c r="B18" s="12" t="s">
        <v>150</v>
      </c>
      <c r="C18" s="6" t="s">
        <v>151</v>
      </c>
      <c r="D18" s="17" t="s">
        <v>152</v>
      </c>
      <c r="E18" s="10"/>
      <c r="F18" s="13" t="str">
        <f aca="false">IF(E18="","UNSIGNED — assign an owner","SIGNED")</f>
        <v>UNSIGNED — assign an owner</v>
      </c>
    </row>
    <row r="19" customFormat="false" ht="15" hidden="false" customHeight="true" outlineLevel="0" collapsed="false">
      <c r="B19" s="16" t="s">
        <v>153</v>
      </c>
      <c r="C19" s="16"/>
      <c r="D19" s="16"/>
      <c r="E19" s="16"/>
      <c r="F19" s="16"/>
      <c r="G19" s="16"/>
      <c r="H19" s="16"/>
      <c r="I19" s="16"/>
    </row>
    <row r="21" customFormat="false" ht="15" hidden="false" customHeight="true" outlineLevel="0" collapsed="false">
      <c r="B21" s="4" t="s">
        <v>154</v>
      </c>
    </row>
    <row r="23" customFormat="false" ht="15" hidden="false" customHeight="true" outlineLevel="0" collapsed="false">
      <c r="C23" s="6" t="s">
        <v>155</v>
      </c>
      <c r="D23" s="24" t="s">
        <v>86</v>
      </c>
    </row>
    <row r="24" customFormat="false" ht="15" hidden="false" customHeight="true" outlineLevel="0" collapsed="false">
      <c r="C24" s="6" t="s">
        <v>156</v>
      </c>
      <c r="D24" s="24" t="s">
        <v>86</v>
      </c>
    </row>
    <row r="25" customFormat="false" ht="15" hidden="false" customHeight="true" outlineLevel="0" collapsed="false">
      <c r="C25" s="6" t="s">
        <v>157</v>
      </c>
      <c r="D25" s="24" t="s">
        <v>86</v>
      </c>
    </row>
    <row r="26" customFormat="false" ht="15" hidden="false" customHeight="true" outlineLevel="0" collapsed="false">
      <c r="C26" s="6" t="s">
        <v>158</v>
      </c>
      <c r="D26" s="24" t="s">
        <v>79</v>
      </c>
    </row>
  </sheetData>
  <mergeCells count="2">
    <mergeCell ref="B11:I11"/>
    <mergeCell ref="B19:I19"/>
  </mergeCells>
  <conditionalFormatting sqref="H2">
    <cfRule type="expression" priority="2" aboveAverage="0" equalAverage="0" bottom="0" percent="0" rank="0" text="" dxfId="0">
      <formula>ISNUMBER(SEARCH("NO-GO",H2))</formula>
    </cfRule>
    <cfRule type="expression" priority="3" aboveAverage="0" equalAverage="0" bottom="0" percent="0" rank="0" text="" dxfId="0">
      <formula>ISNUMBER(SEARCH("HOLD",H2))</formula>
    </cfRule>
    <cfRule type="expression" priority="4" aboveAverage="0" equalAverage="0" bottom="0" percent="0" rank="0" text="" dxfId="0">
      <formula>ISNUMBER(SEARCH("KILL",H2))</formula>
    </cfRule>
    <cfRule type="expression" priority="5" aboveAverage="0" equalAverage="0" bottom="0" percent="0" rank="0" text="" dxfId="0">
      <formula>ISNUMBER(SEARCH("BLOCKED",H2))</formula>
    </cfRule>
    <cfRule type="expression" priority="6" aboveAverage="0" equalAverage="0" bottom="0" percent="0" rank="0" text="" dxfId="0">
      <formula>ISNUMBER(SEARCH("INVALID",H2))</formula>
    </cfRule>
    <cfRule type="expression" priority="7" aboveAverage="0" equalAverage="0" bottom="0" percent="0" rank="0" text="" dxfId="0">
      <formula>ISNUMBER(SEARCH("VIOLATION",H2))</formula>
    </cfRule>
    <cfRule type="expression" priority="8" aboveAverage="0" equalAverage="0" bottom="0" percent="0" rank="0" text="" dxfId="0">
      <formula>ISNUMBER(SEARCH("UNDER-SLACKED",H2))</formula>
    </cfRule>
    <cfRule type="expression" priority="9" aboveAverage="0" equalAverage="0" bottom="0" percent="0" rank="0" text="" dxfId="0">
      <formula>ISNUMBER(SEARCH("NOT YET",H2))</formula>
    </cfRule>
    <cfRule type="expression" priority="10" aboveAverage="0" equalAverage="0" bottom="0" percent="0" rank="0" text="" dxfId="0">
      <formula>ISNUMBER(SEARCH("HALF",H2))</formula>
    </cfRule>
    <cfRule type="expression" priority="11" aboveAverage="0" equalAverage="0" bottom="0" percent="0" rank="0" text="" dxfId="0">
      <formula>ISNUMBER(SEARCH("INCOMPLETE",H2))</formula>
    </cfRule>
    <cfRule type="expression" priority="12" aboveAverage="0" equalAverage="0" bottom="0" percent="0" rank="0" text="" dxfId="0">
      <formula>ISNUMBER(SEARCH("ALERT",H2))</formula>
    </cfRule>
    <cfRule type="expression" priority="13" aboveAverage="0" equalAverage="0" bottom="0" percent="0" rank="0" text="" dxfId="0">
      <formula>ISNUMBER(SEARCH("BELOW",H2))</formula>
    </cfRule>
    <cfRule type="expression" priority="14" aboveAverage="0" equalAverage="0" bottom="0" percent="0" rank="0" text="" dxfId="0">
      <formula>ISNUMBER(SEARCH("FAIL",H2))</formula>
    </cfRule>
    <cfRule type="expression" priority="15" aboveAverage="0" equalAverage="0" bottom="0" percent="0" rank="0" text="" dxfId="0">
      <formula>ISNUMBER(SEARCH("STAGNANT",H2))</formula>
    </cfRule>
    <cfRule type="expression" priority="16" aboveAverage="0" equalAverage="0" bottom="0" percent="0" rank="0" text="" dxfId="0">
      <formula>ISNUMBER(SEARCH("MISSING",H2))</formula>
    </cfRule>
    <cfRule type="expression" priority="17" aboveAverage="0" equalAverage="0" bottom="0" percent="0" rank="0" text="" dxfId="0">
      <formula>ISNUMBER(SEARCH("PLANTED",H2))</formula>
    </cfRule>
    <cfRule type="expression" priority="18" aboveAverage="0" equalAverage="0" bottom="0" percent="0" rank="0" text="" dxfId="0">
      <formula>ISNUMBER(SEARCH("WRITE WITHOUT",H2))</formula>
    </cfRule>
    <cfRule type="expression" priority="19" aboveAverage="0" equalAverage="0" bottom="0" percent="0" rank="0" text="" dxfId="0">
      <formula>ISNUMBER(SEARCH("CHALLENGE",H2))</formula>
    </cfRule>
    <cfRule type="expression" priority="20" aboveAverage="0" equalAverage="0" bottom="0" percent="0" rank="0" text="" dxfId="0">
      <formula>ISNUMBER(SEARCH("NOT STARTED",H2))</formula>
    </cfRule>
    <cfRule type="expression" priority="21" aboveAverage="0" equalAverage="0" bottom="0" percent="0" rank="0" text="" dxfId="0">
      <formula>ISNUMBER(SEARCH("DISCUSS",H2))</formula>
    </cfRule>
    <cfRule type="expression" priority="22" aboveAverage="0" equalAverage="0" bottom="0" percent="0" rank="0" text="" dxfId="0">
      <formula>ISNUMBER(SEARCH("UNSIGNED",H2))</formula>
    </cfRule>
    <cfRule type="expression" priority="23" aboveAverage="0" equalAverage="0" bottom="0" percent="0" rank="0" text="" dxfId="0">
      <formula>ISNUMBER(SEARCH("FALSE ALARM",H2))</formula>
    </cfRule>
    <cfRule type="expression" priority="24" aboveAverage="0" equalAverage="0" bottom="0" percent="0" rank="0" text="" dxfId="0">
      <formula>ISNUMBER(SEARCH("MISSED",H2))</formula>
    </cfRule>
    <cfRule type="expression" priority="25" aboveAverage="0" equalAverage="0" bottom="0" percent="0" rank="0" text="" dxfId="0">
      <formula>ISNUMBER(SEARCH("COSTUME",H2))</formula>
    </cfRule>
    <cfRule type="expression" priority="26" aboveAverage="0" equalAverage="0" bottom="0" percent="0" rank="0" text="" dxfId="0">
      <formula>ISNUMBER(SEARCH("PROMISE WITHOUT",H2))</formula>
    </cfRule>
    <cfRule type="expression" priority="27" aboveAverage="0" equalAverage="0" bottom="0" percent="0" rank="0" text="" dxfId="1">
      <formula>ISNUMBER(SEARCH("BORDERLINE",H2))</formula>
    </cfRule>
    <cfRule type="expression" priority="28" aboveAverage="0" equalAverage="0" bottom="0" percent="0" rank="0" text="" dxfId="1">
      <formula>ISNUMBER(SEARCH("WORKFLOW",H2))</formula>
    </cfRule>
    <cfRule type="expression" priority="29" aboveAverage="0" equalAverage="0" bottom="0" percent="0" rank="0" text="" dxfId="1">
      <formula>ISNUMBER(SEARCH("PENDING",H2))</formula>
    </cfRule>
    <cfRule type="expression" priority="30" aboveAverage="0" equalAverage="0" bottom="0" percent="0" rank="0" text="" dxfId="1">
      <formula>ISNUMBER(SEARCH("ADVISORY",H2))</formula>
    </cfRule>
    <cfRule type="expression" priority="31" aboveAverage="0" equalAverage="0" bottom="0" percent="0" rank="0" text="" dxfId="1">
      <formula>ISNUMBER(SEARCH("ABOVE",H2))</formula>
    </cfRule>
    <cfRule type="expression" priority="32" aboveAverage="0" equalAverage="0" bottom="0" percent="0" rank="0" text="" dxfId="1">
      <formula>ISNUMBER(SEARCH("TUNE",H2))</formula>
    </cfRule>
    <cfRule type="expression" priority="33" aboveAverage="0" equalAverage="0" bottom="0" percent="0" rank="0" text="" dxfId="1">
      <formula>ISNUMBER(SEARCH("REVIEW",H2))</formula>
    </cfRule>
    <cfRule type="expression" priority="34" aboveAverage="0" equalAverage="0" bottom="0" percent="0" rank="0" text="" dxfId="1">
      <formula>ISNUMBER(SEARCH("DECIDE",H2))</formula>
    </cfRule>
    <cfRule type="expression" priority="35" aboveAverage="0" equalAverage="0" bottom="0" percent="0" rank="0" text="" dxfId="1">
      <formula>ISNUMBER(SEARCH("IN PROGRESS",H2))</formula>
    </cfRule>
    <cfRule type="expression" priority="36" aboveAverage="0" equalAverage="0" bottom="0" percent="0" rank="0" text="" dxfId="1">
      <formula>ISNUMBER(SEARCH("PARTIAL",H2))</formula>
    </cfRule>
    <cfRule type="expression" priority="37" aboveAverage="0" equalAverage="0" bottom="0" percent="0" rank="0" text="" dxfId="1">
      <formula>ISNUMBER(SEARCH("NO DATA",H2))</formula>
    </cfRule>
    <cfRule type="expression" priority="38" aboveAverage="0" equalAverage="0" bottom="0" percent="0" rank="0" text="" dxfId="1">
      <formula>ISNUMBER(SEARCH("NOT RUN",H2))</formula>
    </cfRule>
    <cfRule type="expression" priority="39" aboveAverage="0" equalAverage="0" bottom="0" percent="0" rank="0" text="" dxfId="1">
      <formula>ISNUMBER(SEARCH("EVALUATE",H2))</formula>
    </cfRule>
    <cfRule type="expression" priority="40" aboveAverage="0" equalAverage="0" bottom="0" percent="0" rank="0" text="" dxfId="1">
      <formula>ISNUMBER(SEARCH("TIGHTEN",H2))</formula>
    </cfRule>
    <cfRule type="expression" priority="41" aboveAverage="0" equalAverage="0" bottom="0" percent="0" rank="0" text="" dxfId="1">
      <formula>ISNUMBER(SEARCH("LOOSEN",H2))</formula>
    </cfRule>
    <cfRule type="expression" priority="42" aboveAverage="0" equalAverage="0" bottom="0" percent="0" rank="0" text="" dxfId="1">
      <formula>ISNUMBER(SEARCH("WEAK",H2))</formula>
    </cfRule>
    <cfRule type="expression" priority="43" aboveAverage="0" equalAverage="0" bottom="0" percent="0" rank="0" text="" dxfId="1">
      <formula>ISNUMBER(SEARCH("ADJACENT",H2))</formula>
    </cfRule>
    <cfRule type="expression" priority="44" aboveAverage="0" equalAverage="0" bottom="0" percent="0" rank="0" text="" dxfId="1">
      <formula>ISNUMBER(SEARCH("GAPS",H2))</formula>
    </cfRule>
    <cfRule type="expression" priority="45" aboveAverage="0" equalAverage="0" bottom="0" percent="0" rank="0" text="" dxfId="1">
      <formula>ISNUMBER(SEARCH("ADD ONE",H2))</formula>
    </cfRule>
    <cfRule type="expression" priority="46" aboveAverage="0" equalAverage="0" bottom="0" percent="0" rank="0" text="" dxfId="1">
      <formula>ISNUMBER(SEARCH("⚠",H2))</formula>
    </cfRule>
    <cfRule type="expression" priority="47" aboveAverage="0" equalAverage="0" bottom="0" percent="0" rank="0" text="" dxfId="2">
      <formula>ISNUMBER(SEARCH("PASS",H2))</formula>
    </cfRule>
    <cfRule type="expression" priority="48" aboveAverage="0" equalAverage="0" bottom="0" percent="0" rank="0" text="" dxfId="2">
      <formula>ISNUMBER(SEARCH("GO",H2))</formula>
    </cfRule>
    <cfRule type="expression" priority="49" aboveAverage="0" equalAverage="0" bottom="0" percent="0" rank="0" text="" dxfId="2">
      <formula>ISNUMBER(SEARCH("BUILD",H2))</formula>
    </cfRule>
    <cfRule type="expression" priority="50" aboveAverage="0" equalAverage="0" bottom="0" percent="0" rank="0" text="" dxfId="2">
      <formula>ISNUMBER(SEARCH("COMPLETE",H2))</formula>
    </cfRule>
    <cfRule type="expression" priority="51" aboveAverage="0" equalAverage="0" bottom="0" percent="0" rank="0" text="" dxfId="2">
      <formula>ISNUMBER(SEARCH("ELIGIBLE",H2))</formula>
    </cfRule>
    <cfRule type="expression" priority="52" aboveAverage="0" equalAverage="0" bottom="0" percent="0" rank="0" text="" dxfId="2">
      <formula>ISNUMBER(SEARCH("SHIP",H2))</formula>
    </cfRule>
    <cfRule type="expression" priority="53" aboveAverage="0" equalAverage="0" bottom="0" percent="0" rank="0" text="" dxfId="2">
      <formula>ISNUMBER(SEARCH("ON TARGET",H2))</formula>
    </cfRule>
    <cfRule type="expression" priority="54" aboveAverage="0" equalAverage="0" bottom="0" percent="0" rank="0" text="" dxfId="2">
      <formula>ISNUMBER(SEARCH("ON TRACK",H2))</formula>
    </cfRule>
    <cfRule type="expression" priority="55" aboveAverage="0" equalAverage="0" bottom="0" percent="0" rank="0" text="" dxfId="2">
      <formula>ISNUMBER(SEARCH("RESOLVED",H2))</formula>
    </cfRule>
    <cfRule type="expression" priority="56" aboveAverage="0" equalAverage="0" bottom="0" percent="0" rank="0" text="" dxfId="2">
      <formula>ISNUMBER(SEARCH("OK",H2))</formula>
    </cfRule>
    <cfRule type="expression" priority="57" aboveAverage="0" equalAverage="0" bottom="0" percent="0" rank="0" text="" dxfId="2">
      <formula>ISNUMBER(SEARCH("MATCH",H2))</formula>
    </cfRule>
    <cfRule type="expression" priority="58" aboveAverage="0" equalAverage="0" bottom="0" percent="0" rank="0" text="" dxfId="2">
      <formula>ISNUMBER(SEARCH("SOUND",H2))</formula>
    </cfRule>
    <cfRule type="expression" priority="59" aboveAverage="0" equalAverage="0" bottom="0" percent="0" rank="0" text="" dxfId="2">
      <formula>ISNUMBER(SEARCH("WITHIN",H2))</formula>
    </cfRule>
    <cfRule type="expression" priority="60" aboveAverage="0" equalAverage="0" bottom="0" percent="0" rank="0" text="" dxfId="2">
      <formula>ISNUMBER(SEARCH("DONE",H2))</formula>
    </cfRule>
    <cfRule type="expression" priority="61" aboveAverage="0" equalAverage="0" bottom="0" percent="0" rank="0" text="" dxfId="2">
      <formula>ISNUMBER(SEARCH("SIGNED",H2))</formula>
    </cfRule>
    <cfRule type="expression" priority="62" aboveAverage="0" equalAverage="0" bottom="0" percent="0" rank="0" text="" dxfId="2">
      <formula>ISNUMBER(SEARCH("✓",H2))</formula>
    </cfRule>
    <cfRule type="expression" priority="63" aboveAverage="0" equalAverage="0" bottom="0" percent="0" rank="0" text="" dxfId="2">
      <formula>ISNUMBER(SEARCH("KEEP",H2))</formula>
    </cfRule>
    <cfRule type="expression" priority="64" aboveAverage="0" equalAverage="0" bottom="0" percent="0" rank="0" text="" dxfId="2">
      <formula>ISNUMBER(SEARCH("DEV-READY",H2))</formula>
    </cfRule>
    <cfRule type="expression" priority="65" aboveAverage="0" equalAverage="0" bottom="0" percent="0" rank="0" text="" dxfId="2">
      <formula>ISNUMBER(SEARCH("GREW",H2))</formula>
    </cfRule>
    <cfRule type="expression" priority="66" aboveAverage="0" equalAverage="0" bottom="0" percent="0" rank="0" text="" dxfId="2">
      <formula>ISNUMBER(SEARCH("HIT",H2))</formula>
    </cfRule>
    <cfRule type="expression" priority="67" aboveAverage="0" equalAverage="0" bottom="0" percent="0" rank="0" text="" dxfId="2">
      <formula>ISNUMBER(SEARCH("CORRECT",H2))</formula>
    </cfRule>
    <cfRule type="expression" priority="68" aboveAverage="0" equalAverage="0" bottom="0" percent="0" rank="0" text="" dxfId="2">
      <formula>ISNUMBER(SEARCH("STAY",H2))</formula>
    </cfRule>
  </conditionalFormatting>
  <conditionalFormatting sqref="H6:H10">
    <cfRule type="expression" priority="69" aboveAverage="0" equalAverage="0" bottom="0" percent="0" rank="0" text="" dxfId="0">
      <formula>ISNUMBER(SEARCH("NO-GO",H6))</formula>
    </cfRule>
    <cfRule type="expression" priority="70" aboveAverage="0" equalAverage="0" bottom="0" percent="0" rank="0" text="" dxfId="0">
      <formula>ISNUMBER(SEARCH("HOLD",H6))</formula>
    </cfRule>
    <cfRule type="expression" priority="71" aboveAverage="0" equalAverage="0" bottom="0" percent="0" rank="0" text="" dxfId="0">
      <formula>ISNUMBER(SEARCH("KILL",H6))</formula>
    </cfRule>
    <cfRule type="expression" priority="72" aboveAverage="0" equalAverage="0" bottom="0" percent="0" rank="0" text="" dxfId="0">
      <formula>ISNUMBER(SEARCH("BLOCKED",H6))</formula>
    </cfRule>
    <cfRule type="expression" priority="73" aboveAverage="0" equalAverage="0" bottom="0" percent="0" rank="0" text="" dxfId="0">
      <formula>ISNUMBER(SEARCH("INVALID",H6))</formula>
    </cfRule>
    <cfRule type="expression" priority="74" aboveAverage="0" equalAverage="0" bottom="0" percent="0" rank="0" text="" dxfId="0">
      <formula>ISNUMBER(SEARCH("VIOLATION",H6))</formula>
    </cfRule>
    <cfRule type="expression" priority="75" aboveAverage="0" equalAverage="0" bottom="0" percent="0" rank="0" text="" dxfId="0">
      <formula>ISNUMBER(SEARCH("UNDER-SLACKED",H6))</formula>
    </cfRule>
    <cfRule type="expression" priority="76" aboveAverage="0" equalAverage="0" bottom="0" percent="0" rank="0" text="" dxfId="0">
      <formula>ISNUMBER(SEARCH("NOT YET",H6))</formula>
    </cfRule>
    <cfRule type="expression" priority="77" aboveAverage="0" equalAverage="0" bottom="0" percent="0" rank="0" text="" dxfId="0">
      <formula>ISNUMBER(SEARCH("HALF",H6))</formula>
    </cfRule>
    <cfRule type="expression" priority="78" aboveAverage="0" equalAverage="0" bottom="0" percent="0" rank="0" text="" dxfId="0">
      <formula>ISNUMBER(SEARCH("INCOMPLETE",H6))</formula>
    </cfRule>
    <cfRule type="expression" priority="79" aboveAverage="0" equalAverage="0" bottom="0" percent="0" rank="0" text="" dxfId="0">
      <formula>ISNUMBER(SEARCH("ALERT",H6))</formula>
    </cfRule>
    <cfRule type="expression" priority="80" aboveAverage="0" equalAverage="0" bottom="0" percent="0" rank="0" text="" dxfId="0">
      <formula>ISNUMBER(SEARCH("BELOW",H6))</formula>
    </cfRule>
    <cfRule type="expression" priority="81" aboveAverage="0" equalAverage="0" bottom="0" percent="0" rank="0" text="" dxfId="0">
      <formula>ISNUMBER(SEARCH("FAIL",H6))</formula>
    </cfRule>
    <cfRule type="expression" priority="82" aboveAverage="0" equalAverage="0" bottom="0" percent="0" rank="0" text="" dxfId="0">
      <formula>ISNUMBER(SEARCH("STAGNANT",H6))</formula>
    </cfRule>
    <cfRule type="expression" priority="83" aboveAverage="0" equalAverage="0" bottom="0" percent="0" rank="0" text="" dxfId="0">
      <formula>ISNUMBER(SEARCH("MISSING",H6))</formula>
    </cfRule>
    <cfRule type="expression" priority="84" aboveAverage="0" equalAverage="0" bottom="0" percent="0" rank="0" text="" dxfId="0">
      <formula>ISNUMBER(SEARCH("PLANTED",H6))</formula>
    </cfRule>
    <cfRule type="expression" priority="85" aboveAverage="0" equalAverage="0" bottom="0" percent="0" rank="0" text="" dxfId="0">
      <formula>ISNUMBER(SEARCH("WRITE WITHOUT",H6))</formula>
    </cfRule>
    <cfRule type="expression" priority="86" aboveAverage="0" equalAverage="0" bottom="0" percent="0" rank="0" text="" dxfId="0">
      <formula>ISNUMBER(SEARCH("CHALLENGE",H6))</formula>
    </cfRule>
    <cfRule type="expression" priority="87" aboveAverage="0" equalAverage="0" bottom="0" percent="0" rank="0" text="" dxfId="0">
      <formula>ISNUMBER(SEARCH("NOT STARTED",H6))</formula>
    </cfRule>
    <cfRule type="expression" priority="88" aboveAverage="0" equalAverage="0" bottom="0" percent="0" rank="0" text="" dxfId="0">
      <formula>ISNUMBER(SEARCH("DISCUSS",H6))</formula>
    </cfRule>
    <cfRule type="expression" priority="89" aboveAverage="0" equalAverage="0" bottom="0" percent="0" rank="0" text="" dxfId="0">
      <formula>ISNUMBER(SEARCH("UNSIGNED",H6))</formula>
    </cfRule>
    <cfRule type="expression" priority="90" aboveAverage="0" equalAverage="0" bottom="0" percent="0" rank="0" text="" dxfId="0">
      <formula>ISNUMBER(SEARCH("FALSE ALARM",H6))</formula>
    </cfRule>
    <cfRule type="expression" priority="91" aboveAverage="0" equalAverage="0" bottom="0" percent="0" rank="0" text="" dxfId="0">
      <formula>ISNUMBER(SEARCH("MISSED",H6))</formula>
    </cfRule>
    <cfRule type="expression" priority="92" aboveAverage="0" equalAverage="0" bottom="0" percent="0" rank="0" text="" dxfId="0">
      <formula>ISNUMBER(SEARCH("COSTUME",H6))</formula>
    </cfRule>
    <cfRule type="expression" priority="93" aboveAverage="0" equalAverage="0" bottom="0" percent="0" rank="0" text="" dxfId="0">
      <formula>ISNUMBER(SEARCH("PROMISE WITHOUT",H6))</formula>
    </cfRule>
    <cfRule type="expression" priority="94" aboveAverage="0" equalAverage="0" bottom="0" percent="0" rank="0" text="" dxfId="1">
      <formula>ISNUMBER(SEARCH("BORDERLINE",H6))</formula>
    </cfRule>
    <cfRule type="expression" priority="95" aboveAverage="0" equalAverage="0" bottom="0" percent="0" rank="0" text="" dxfId="1">
      <formula>ISNUMBER(SEARCH("WORKFLOW",H6))</formula>
    </cfRule>
    <cfRule type="expression" priority="96" aboveAverage="0" equalAverage="0" bottom="0" percent="0" rank="0" text="" dxfId="1">
      <formula>ISNUMBER(SEARCH("PENDING",H6))</formula>
    </cfRule>
    <cfRule type="expression" priority="97" aboveAverage="0" equalAverage="0" bottom="0" percent="0" rank="0" text="" dxfId="1">
      <formula>ISNUMBER(SEARCH("ADVISORY",H6))</formula>
    </cfRule>
    <cfRule type="expression" priority="98" aboveAverage="0" equalAverage="0" bottom="0" percent="0" rank="0" text="" dxfId="1">
      <formula>ISNUMBER(SEARCH("ABOVE",H6))</formula>
    </cfRule>
    <cfRule type="expression" priority="99" aboveAverage="0" equalAverage="0" bottom="0" percent="0" rank="0" text="" dxfId="1">
      <formula>ISNUMBER(SEARCH("TUNE",H6))</formula>
    </cfRule>
    <cfRule type="expression" priority="100" aboveAverage="0" equalAverage="0" bottom="0" percent="0" rank="0" text="" dxfId="1">
      <formula>ISNUMBER(SEARCH("REVIEW",H6))</formula>
    </cfRule>
    <cfRule type="expression" priority="101" aboveAverage="0" equalAverage="0" bottom="0" percent="0" rank="0" text="" dxfId="1">
      <formula>ISNUMBER(SEARCH("DECIDE",H6))</formula>
    </cfRule>
    <cfRule type="expression" priority="102" aboveAverage="0" equalAverage="0" bottom="0" percent="0" rank="0" text="" dxfId="1">
      <formula>ISNUMBER(SEARCH("IN PROGRESS",H6))</formula>
    </cfRule>
    <cfRule type="expression" priority="103" aboveAverage="0" equalAverage="0" bottom="0" percent="0" rank="0" text="" dxfId="1">
      <formula>ISNUMBER(SEARCH("PARTIAL",H6))</formula>
    </cfRule>
    <cfRule type="expression" priority="104" aboveAverage="0" equalAverage="0" bottom="0" percent="0" rank="0" text="" dxfId="1">
      <formula>ISNUMBER(SEARCH("NO DATA",H6))</formula>
    </cfRule>
    <cfRule type="expression" priority="105" aboveAverage="0" equalAverage="0" bottom="0" percent="0" rank="0" text="" dxfId="1">
      <formula>ISNUMBER(SEARCH("NOT RUN",H6))</formula>
    </cfRule>
    <cfRule type="expression" priority="106" aboveAverage="0" equalAverage="0" bottom="0" percent="0" rank="0" text="" dxfId="1">
      <formula>ISNUMBER(SEARCH("EVALUATE",H6))</formula>
    </cfRule>
    <cfRule type="expression" priority="107" aboveAverage="0" equalAverage="0" bottom="0" percent="0" rank="0" text="" dxfId="1">
      <formula>ISNUMBER(SEARCH("TIGHTEN",H6))</formula>
    </cfRule>
    <cfRule type="expression" priority="108" aboveAverage="0" equalAverage="0" bottom="0" percent="0" rank="0" text="" dxfId="1">
      <formula>ISNUMBER(SEARCH("LOOSEN",H6))</formula>
    </cfRule>
    <cfRule type="expression" priority="109" aboveAverage="0" equalAverage="0" bottom="0" percent="0" rank="0" text="" dxfId="1">
      <formula>ISNUMBER(SEARCH("WEAK",H6))</formula>
    </cfRule>
    <cfRule type="expression" priority="110" aboveAverage="0" equalAverage="0" bottom="0" percent="0" rank="0" text="" dxfId="1">
      <formula>ISNUMBER(SEARCH("ADJACENT",H6))</formula>
    </cfRule>
    <cfRule type="expression" priority="111" aboveAverage="0" equalAverage="0" bottom="0" percent="0" rank="0" text="" dxfId="1">
      <formula>ISNUMBER(SEARCH("GAPS",H6))</formula>
    </cfRule>
    <cfRule type="expression" priority="112" aboveAverage="0" equalAverage="0" bottom="0" percent="0" rank="0" text="" dxfId="1">
      <formula>ISNUMBER(SEARCH("ADD ONE",H6))</formula>
    </cfRule>
    <cfRule type="expression" priority="113" aboveAverage="0" equalAverage="0" bottom="0" percent="0" rank="0" text="" dxfId="1">
      <formula>ISNUMBER(SEARCH("⚠",H6))</formula>
    </cfRule>
    <cfRule type="expression" priority="114" aboveAverage="0" equalAverage="0" bottom="0" percent="0" rank="0" text="" dxfId="2">
      <formula>ISNUMBER(SEARCH("PASS",H6))</formula>
    </cfRule>
    <cfRule type="expression" priority="115" aboveAverage="0" equalAverage="0" bottom="0" percent="0" rank="0" text="" dxfId="2">
      <formula>ISNUMBER(SEARCH("GO",H6))</formula>
    </cfRule>
    <cfRule type="expression" priority="116" aboveAverage="0" equalAverage="0" bottom="0" percent="0" rank="0" text="" dxfId="2">
      <formula>ISNUMBER(SEARCH("BUILD",H6))</formula>
    </cfRule>
    <cfRule type="expression" priority="117" aboveAverage="0" equalAverage="0" bottom="0" percent="0" rank="0" text="" dxfId="2">
      <formula>ISNUMBER(SEARCH("COMPLETE",H6))</formula>
    </cfRule>
    <cfRule type="expression" priority="118" aboveAverage="0" equalAverage="0" bottom="0" percent="0" rank="0" text="" dxfId="2">
      <formula>ISNUMBER(SEARCH("ELIGIBLE",H6))</formula>
    </cfRule>
    <cfRule type="expression" priority="119" aboveAverage="0" equalAverage="0" bottom="0" percent="0" rank="0" text="" dxfId="2">
      <formula>ISNUMBER(SEARCH("SHIP",H6))</formula>
    </cfRule>
    <cfRule type="expression" priority="120" aboveAverage="0" equalAverage="0" bottom="0" percent="0" rank="0" text="" dxfId="2">
      <formula>ISNUMBER(SEARCH("ON TARGET",H6))</formula>
    </cfRule>
    <cfRule type="expression" priority="121" aboveAverage="0" equalAverage="0" bottom="0" percent="0" rank="0" text="" dxfId="2">
      <formula>ISNUMBER(SEARCH("ON TRACK",H6))</formula>
    </cfRule>
    <cfRule type="expression" priority="122" aboveAverage="0" equalAverage="0" bottom="0" percent="0" rank="0" text="" dxfId="2">
      <formula>ISNUMBER(SEARCH("RESOLVED",H6))</formula>
    </cfRule>
    <cfRule type="expression" priority="123" aboveAverage="0" equalAverage="0" bottom="0" percent="0" rank="0" text="" dxfId="2">
      <formula>ISNUMBER(SEARCH("OK",H6))</formula>
    </cfRule>
    <cfRule type="expression" priority="124" aboveAverage="0" equalAverage="0" bottom="0" percent="0" rank="0" text="" dxfId="2">
      <formula>ISNUMBER(SEARCH("MATCH",H6))</formula>
    </cfRule>
    <cfRule type="expression" priority="125" aboveAverage="0" equalAverage="0" bottom="0" percent="0" rank="0" text="" dxfId="2">
      <formula>ISNUMBER(SEARCH("SOUND",H6))</formula>
    </cfRule>
    <cfRule type="expression" priority="126" aboveAverage="0" equalAverage="0" bottom="0" percent="0" rank="0" text="" dxfId="2">
      <formula>ISNUMBER(SEARCH("WITHIN",H6))</formula>
    </cfRule>
    <cfRule type="expression" priority="127" aboveAverage="0" equalAverage="0" bottom="0" percent="0" rank="0" text="" dxfId="2">
      <formula>ISNUMBER(SEARCH("DONE",H6))</formula>
    </cfRule>
    <cfRule type="expression" priority="128" aboveAverage="0" equalAverage="0" bottom="0" percent="0" rank="0" text="" dxfId="2">
      <formula>ISNUMBER(SEARCH("SIGNED",H6))</formula>
    </cfRule>
    <cfRule type="expression" priority="129" aboveAverage="0" equalAverage="0" bottom="0" percent="0" rank="0" text="" dxfId="2">
      <formula>ISNUMBER(SEARCH("✓",H6))</formula>
    </cfRule>
    <cfRule type="expression" priority="130" aboveAverage="0" equalAverage="0" bottom="0" percent="0" rank="0" text="" dxfId="2">
      <formula>ISNUMBER(SEARCH("KEEP",H6))</formula>
    </cfRule>
    <cfRule type="expression" priority="131" aboveAverage="0" equalAverage="0" bottom="0" percent="0" rank="0" text="" dxfId="2">
      <formula>ISNUMBER(SEARCH("DEV-READY",H6))</formula>
    </cfRule>
    <cfRule type="expression" priority="132" aboveAverage="0" equalAverage="0" bottom="0" percent="0" rank="0" text="" dxfId="2">
      <formula>ISNUMBER(SEARCH("GREW",H6))</formula>
    </cfRule>
    <cfRule type="expression" priority="133" aboveAverage="0" equalAverage="0" bottom="0" percent="0" rank="0" text="" dxfId="2">
      <formula>ISNUMBER(SEARCH("HIT",H6))</formula>
    </cfRule>
    <cfRule type="expression" priority="134" aboveAverage="0" equalAverage="0" bottom="0" percent="0" rank="0" text="" dxfId="2">
      <formula>ISNUMBER(SEARCH("CORRECT",H6))</formula>
    </cfRule>
    <cfRule type="expression" priority="135" aboveAverage="0" equalAverage="0" bottom="0" percent="0" rank="0" text="" dxfId="2">
      <formula>ISNUMBER(SEARCH("STAY",H6))</formula>
    </cfRule>
  </conditionalFormatting>
  <conditionalFormatting sqref="F15:F18">
    <cfRule type="expression" priority="136" aboveAverage="0" equalAverage="0" bottom="0" percent="0" rank="0" text="" dxfId="0">
      <formula>ISNUMBER(SEARCH("NO-GO",F15))</formula>
    </cfRule>
    <cfRule type="expression" priority="137" aboveAverage="0" equalAverage="0" bottom="0" percent="0" rank="0" text="" dxfId="0">
      <formula>ISNUMBER(SEARCH("HOLD",F15))</formula>
    </cfRule>
    <cfRule type="expression" priority="138" aboveAverage="0" equalAverage="0" bottom="0" percent="0" rank="0" text="" dxfId="0">
      <formula>ISNUMBER(SEARCH("KILL",F15))</formula>
    </cfRule>
    <cfRule type="expression" priority="139" aboveAverage="0" equalAverage="0" bottom="0" percent="0" rank="0" text="" dxfId="0">
      <formula>ISNUMBER(SEARCH("BLOCKED",F15))</formula>
    </cfRule>
    <cfRule type="expression" priority="140" aboveAverage="0" equalAverage="0" bottom="0" percent="0" rank="0" text="" dxfId="0">
      <formula>ISNUMBER(SEARCH("INVALID",F15))</formula>
    </cfRule>
    <cfRule type="expression" priority="141" aboveAverage="0" equalAverage="0" bottom="0" percent="0" rank="0" text="" dxfId="0">
      <formula>ISNUMBER(SEARCH("VIOLATION",F15))</formula>
    </cfRule>
    <cfRule type="expression" priority="142" aboveAverage="0" equalAverage="0" bottom="0" percent="0" rank="0" text="" dxfId="0">
      <formula>ISNUMBER(SEARCH("UNDER-SLACKED",F15))</formula>
    </cfRule>
    <cfRule type="expression" priority="143" aboveAverage="0" equalAverage="0" bottom="0" percent="0" rank="0" text="" dxfId="0">
      <formula>ISNUMBER(SEARCH("NOT YET",F15))</formula>
    </cfRule>
    <cfRule type="expression" priority="144" aboveAverage="0" equalAverage="0" bottom="0" percent="0" rank="0" text="" dxfId="0">
      <formula>ISNUMBER(SEARCH("HALF",F15))</formula>
    </cfRule>
    <cfRule type="expression" priority="145" aboveAverage="0" equalAverage="0" bottom="0" percent="0" rank="0" text="" dxfId="0">
      <formula>ISNUMBER(SEARCH("INCOMPLETE",F15))</formula>
    </cfRule>
    <cfRule type="expression" priority="146" aboveAverage="0" equalAverage="0" bottom="0" percent="0" rank="0" text="" dxfId="0">
      <formula>ISNUMBER(SEARCH("ALERT",F15))</formula>
    </cfRule>
    <cfRule type="expression" priority="147" aboveAverage="0" equalAverage="0" bottom="0" percent="0" rank="0" text="" dxfId="0">
      <formula>ISNUMBER(SEARCH("BELOW",F15))</formula>
    </cfRule>
    <cfRule type="expression" priority="148" aboveAverage="0" equalAverage="0" bottom="0" percent="0" rank="0" text="" dxfId="0">
      <formula>ISNUMBER(SEARCH("FAIL",F15))</formula>
    </cfRule>
    <cfRule type="expression" priority="149" aboveAverage="0" equalAverage="0" bottom="0" percent="0" rank="0" text="" dxfId="0">
      <formula>ISNUMBER(SEARCH("STAGNANT",F15))</formula>
    </cfRule>
    <cfRule type="expression" priority="150" aboveAverage="0" equalAverage="0" bottom="0" percent="0" rank="0" text="" dxfId="0">
      <formula>ISNUMBER(SEARCH("MISSING",F15))</formula>
    </cfRule>
    <cfRule type="expression" priority="151" aboveAverage="0" equalAverage="0" bottom="0" percent="0" rank="0" text="" dxfId="0">
      <formula>ISNUMBER(SEARCH("PLANTED",F15))</formula>
    </cfRule>
    <cfRule type="expression" priority="152" aboveAverage="0" equalAverage="0" bottom="0" percent="0" rank="0" text="" dxfId="0">
      <formula>ISNUMBER(SEARCH("WRITE WITHOUT",F15))</formula>
    </cfRule>
    <cfRule type="expression" priority="153" aboveAverage="0" equalAverage="0" bottom="0" percent="0" rank="0" text="" dxfId="0">
      <formula>ISNUMBER(SEARCH("CHALLENGE",F15))</formula>
    </cfRule>
    <cfRule type="expression" priority="154" aboveAverage="0" equalAverage="0" bottom="0" percent="0" rank="0" text="" dxfId="0">
      <formula>ISNUMBER(SEARCH("NOT STARTED",F15))</formula>
    </cfRule>
    <cfRule type="expression" priority="155" aboveAverage="0" equalAverage="0" bottom="0" percent="0" rank="0" text="" dxfId="0">
      <formula>ISNUMBER(SEARCH("DISCUSS",F15))</formula>
    </cfRule>
    <cfRule type="expression" priority="156" aboveAverage="0" equalAverage="0" bottom="0" percent="0" rank="0" text="" dxfId="0">
      <formula>ISNUMBER(SEARCH("UNSIGNED",F15))</formula>
    </cfRule>
    <cfRule type="expression" priority="157" aboveAverage="0" equalAverage="0" bottom="0" percent="0" rank="0" text="" dxfId="0">
      <formula>ISNUMBER(SEARCH("FALSE ALARM",F15))</formula>
    </cfRule>
    <cfRule type="expression" priority="158" aboveAverage="0" equalAverage="0" bottom="0" percent="0" rank="0" text="" dxfId="0">
      <formula>ISNUMBER(SEARCH("MISSED",F15))</formula>
    </cfRule>
    <cfRule type="expression" priority="159" aboveAverage="0" equalAverage="0" bottom="0" percent="0" rank="0" text="" dxfId="0">
      <formula>ISNUMBER(SEARCH("COSTUME",F15))</formula>
    </cfRule>
    <cfRule type="expression" priority="160" aboveAverage="0" equalAverage="0" bottom="0" percent="0" rank="0" text="" dxfId="0">
      <formula>ISNUMBER(SEARCH("PROMISE WITHOUT",F15))</formula>
    </cfRule>
    <cfRule type="expression" priority="161" aboveAverage="0" equalAverage="0" bottom="0" percent="0" rank="0" text="" dxfId="1">
      <formula>ISNUMBER(SEARCH("BORDERLINE",F15))</formula>
    </cfRule>
    <cfRule type="expression" priority="162" aboveAverage="0" equalAverage="0" bottom="0" percent="0" rank="0" text="" dxfId="1">
      <formula>ISNUMBER(SEARCH("WORKFLOW",F15))</formula>
    </cfRule>
    <cfRule type="expression" priority="163" aboveAverage="0" equalAverage="0" bottom="0" percent="0" rank="0" text="" dxfId="1">
      <formula>ISNUMBER(SEARCH("PENDING",F15))</formula>
    </cfRule>
    <cfRule type="expression" priority="164" aboveAverage="0" equalAverage="0" bottom="0" percent="0" rank="0" text="" dxfId="1">
      <formula>ISNUMBER(SEARCH("ADVISORY",F15))</formula>
    </cfRule>
    <cfRule type="expression" priority="165" aboveAverage="0" equalAverage="0" bottom="0" percent="0" rank="0" text="" dxfId="1">
      <formula>ISNUMBER(SEARCH("ABOVE",F15))</formula>
    </cfRule>
    <cfRule type="expression" priority="166" aboveAverage="0" equalAverage="0" bottom="0" percent="0" rank="0" text="" dxfId="1">
      <formula>ISNUMBER(SEARCH("TUNE",F15))</formula>
    </cfRule>
    <cfRule type="expression" priority="167" aboveAverage="0" equalAverage="0" bottom="0" percent="0" rank="0" text="" dxfId="1">
      <formula>ISNUMBER(SEARCH("REVIEW",F15))</formula>
    </cfRule>
    <cfRule type="expression" priority="168" aboveAverage="0" equalAverage="0" bottom="0" percent="0" rank="0" text="" dxfId="1">
      <formula>ISNUMBER(SEARCH("DECIDE",F15))</formula>
    </cfRule>
    <cfRule type="expression" priority="169" aboveAverage="0" equalAverage="0" bottom="0" percent="0" rank="0" text="" dxfId="1">
      <formula>ISNUMBER(SEARCH("IN PROGRESS",F15))</formula>
    </cfRule>
    <cfRule type="expression" priority="170" aboveAverage="0" equalAverage="0" bottom="0" percent="0" rank="0" text="" dxfId="1">
      <formula>ISNUMBER(SEARCH("PARTIAL",F15))</formula>
    </cfRule>
    <cfRule type="expression" priority="171" aboveAverage="0" equalAverage="0" bottom="0" percent="0" rank="0" text="" dxfId="1">
      <formula>ISNUMBER(SEARCH("NO DATA",F15))</formula>
    </cfRule>
    <cfRule type="expression" priority="172" aboveAverage="0" equalAverage="0" bottom="0" percent="0" rank="0" text="" dxfId="1">
      <formula>ISNUMBER(SEARCH("NOT RUN",F15))</formula>
    </cfRule>
    <cfRule type="expression" priority="173" aboveAverage="0" equalAverage="0" bottom="0" percent="0" rank="0" text="" dxfId="1">
      <formula>ISNUMBER(SEARCH("EVALUATE",F15))</formula>
    </cfRule>
    <cfRule type="expression" priority="174" aboveAverage="0" equalAverage="0" bottom="0" percent="0" rank="0" text="" dxfId="1">
      <formula>ISNUMBER(SEARCH("TIGHTEN",F15))</formula>
    </cfRule>
    <cfRule type="expression" priority="175" aboveAverage="0" equalAverage="0" bottom="0" percent="0" rank="0" text="" dxfId="1">
      <formula>ISNUMBER(SEARCH("LOOSEN",F15))</formula>
    </cfRule>
    <cfRule type="expression" priority="176" aboveAverage="0" equalAverage="0" bottom="0" percent="0" rank="0" text="" dxfId="1">
      <formula>ISNUMBER(SEARCH("WEAK",F15))</formula>
    </cfRule>
    <cfRule type="expression" priority="177" aboveAverage="0" equalAverage="0" bottom="0" percent="0" rank="0" text="" dxfId="1">
      <formula>ISNUMBER(SEARCH("ADJACENT",F15))</formula>
    </cfRule>
    <cfRule type="expression" priority="178" aboveAverage="0" equalAverage="0" bottom="0" percent="0" rank="0" text="" dxfId="1">
      <formula>ISNUMBER(SEARCH("GAPS",F15))</formula>
    </cfRule>
    <cfRule type="expression" priority="179" aboveAverage="0" equalAverage="0" bottom="0" percent="0" rank="0" text="" dxfId="1">
      <formula>ISNUMBER(SEARCH("ADD ONE",F15))</formula>
    </cfRule>
    <cfRule type="expression" priority="180" aboveAverage="0" equalAverage="0" bottom="0" percent="0" rank="0" text="" dxfId="1">
      <formula>ISNUMBER(SEARCH("⚠",F15))</formula>
    </cfRule>
    <cfRule type="expression" priority="181" aboveAverage="0" equalAverage="0" bottom="0" percent="0" rank="0" text="" dxfId="2">
      <formula>ISNUMBER(SEARCH("PASS",F15))</formula>
    </cfRule>
    <cfRule type="expression" priority="182" aboveAverage="0" equalAverage="0" bottom="0" percent="0" rank="0" text="" dxfId="2">
      <formula>ISNUMBER(SEARCH("GO",F15))</formula>
    </cfRule>
    <cfRule type="expression" priority="183" aboveAverage="0" equalAverage="0" bottom="0" percent="0" rank="0" text="" dxfId="2">
      <formula>ISNUMBER(SEARCH("BUILD",F15))</formula>
    </cfRule>
    <cfRule type="expression" priority="184" aboveAverage="0" equalAverage="0" bottom="0" percent="0" rank="0" text="" dxfId="2">
      <formula>ISNUMBER(SEARCH("COMPLETE",F15))</formula>
    </cfRule>
    <cfRule type="expression" priority="185" aboveAverage="0" equalAverage="0" bottom="0" percent="0" rank="0" text="" dxfId="2">
      <formula>ISNUMBER(SEARCH("ELIGIBLE",F15))</formula>
    </cfRule>
    <cfRule type="expression" priority="186" aboveAverage="0" equalAverage="0" bottom="0" percent="0" rank="0" text="" dxfId="2">
      <formula>ISNUMBER(SEARCH("SHIP",F15))</formula>
    </cfRule>
    <cfRule type="expression" priority="187" aboveAverage="0" equalAverage="0" bottom="0" percent="0" rank="0" text="" dxfId="2">
      <formula>ISNUMBER(SEARCH("ON TARGET",F15))</formula>
    </cfRule>
    <cfRule type="expression" priority="188" aboveAverage="0" equalAverage="0" bottom="0" percent="0" rank="0" text="" dxfId="2">
      <formula>ISNUMBER(SEARCH("ON TRACK",F15))</formula>
    </cfRule>
    <cfRule type="expression" priority="189" aboveAverage="0" equalAverage="0" bottom="0" percent="0" rank="0" text="" dxfId="2">
      <formula>ISNUMBER(SEARCH("RESOLVED",F15))</formula>
    </cfRule>
    <cfRule type="expression" priority="190" aboveAverage="0" equalAverage="0" bottom="0" percent="0" rank="0" text="" dxfId="2">
      <formula>ISNUMBER(SEARCH("OK",F15))</formula>
    </cfRule>
    <cfRule type="expression" priority="191" aboveAverage="0" equalAverage="0" bottom="0" percent="0" rank="0" text="" dxfId="2">
      <formula>ISNUMBER(SEARCH("MATCH",F15))</formula>
    </cfRule>
    <cfRule type="expression" priority="192" aboveAverage="0" equalAverage="0" bottom="0" percent="0" rank="0" text="" dxfId="2">
      <formula>ISNUMBER(SEARCH("SOUND",F15))</formula>
    </cfRule>
    <cfRule type="expression" priority="193" aboveAverage="0" equalAverage="0" bottom="0" percent="0" rank="0" text="" dxfId="2">
      <formula>ISNUMBER(SEARCH("WITHIN",F15))</formula>
    </cfRule>
    <cfRule type="expression" priority="194" aboveAverage="0" equalAverage="0" bottom="0" percent="0" rank="0" text="" dxfId="2">
      <formula>ISNUMBER(SEARCH("DONE",F15))</formula>
    </cfRule>
    <cfRule type="expression" priority="195" aboveAverage="0" equalAverage="0" bottom="0" percent="0" rank="0" text="" dxfId="2">
      <formula>ISNUMBER(SEARCH("SIGNED",F15))</formula>
    </cfRule>
    <cfRule type="expression" priority="196" aboveAverage="0" equalAverage="0" bottom="0" percent="0" rank="0" text="" dxfId="2">
      <formula>ISNUMBER(SEARCH("✓",F15))</formula>
    </cfRule>
    <cfRule type="expression" priority="197" aboveAverage="0" equalAverage="0" bottom="0" percent="0" rank="0" text="" dxfId="2">
      <formula>ISNUMBER(SEARCH("KEEP",F15))</formula>
    </cfRule>
    <cfRule type="expression" priority="198" aboveAverage="0" equalAverage="0" bottom="0" percent="0" rank="0" text="" dxfId="2">
      <formula>ISNUMBER(SEARCH("DEV-READY",F15))</formula>
    </cfRule>
    <cfRule type="expression" priority="199" aboveAverage="0" equalAverage="0" bottom="0" percent="0" rank="0" text="" dxfId="2">
      <formula>ISNUMBER(SEARCH("GREW",F15))</formula>
    </cfRule>
    <cfRule type="expression" priority="200" aboveAverage="0" equalAverage="0" bottom="0" percent="0" rank="0" text="" dxfId="2">
      <formula>ISNUMBER(SEARCH("HIT",F15))</formula>
    </cfRule>
    <cfRule type="expression" priority="201" aboveAverage="0" equalAverage="0" bottom="0" percent="0" rank="0" text="" dxfId="2">
      <formula>ISNUMBER(SEARCH("CORRECT",F15))</formula>
    </cfRule>
    <cfRule type="expression" priority="202" aboveAverage="0" equalAverage="0" bottom="0" percent="0" rank="0" text="" dxfId="2">
      <formula>ISNUMBER(SEARCH("STAY",F15))</formula>
    </cfRule>
  </conditionalFormatting>
  <conditionalFormatting sqref="D23:D26">
    <cfRule type="expression" priority="203" aboveAverage="0" equalAverage="0" bottom="0" percent="0" rank="0" text="" dxfId="0">
      <formula>ISNUMBER(SEARCH("NO-GO",D23))</formula>
    </cfRule>
    <cfRule type="expression" priority="204" aboveAverage="0" equalAverage="0" bottom="0" percent="0" rank="0" text="" dxfId="0">
      <formula>ISNUMBER(SEARCH("HOLD",D23))</formula>
    </cfRule>
    <cfRule type="expression" priority="205" aboveAverage="0" equalAverage="0" bottom="0" percent="0" rank="0" text="" dxfId="0">
      <formula>ISNUMBER(SEARCH("KILL",D23))</formula>
    </cfRule>
    <cfRule type="expression" priority="206" aboveAverage="0" equalAverage="0" bottom="0" percent="0" rank="0" text="" dxfId="0">
      <formula>ISNUMBER(SEARCH("BLOCKED",D23))</formula>
    </cfRule>
    <cfRule type="expression" priority="207" aboveAverage="0" equalAverage="0" bottom="0" percent="0" rank="0" text="" dxfId="0">
      <formula>ISNUMBER(SEARCH("INVALID",D23))</formula>
    </cfRule>
    <cfRule type="expression" priority="208" aboveAverage="0" equalAverage="0" bottom="0" percent="0" rank="0" text="" dxfId="0">
      <formula>ISNUMBER(SEARCH("VIOLATION",D23))</formula>
    </cfRule>
    <cfRule type="expression" priority="209" aboveAverage="0" equalAverage="0" bottom="0" percent="0" rank="0" text="" dxfId="0">
      <formula>ISNUMBER(SEARCH("UNDER-SLACKED",D23))</formula>
    </cfRule>
    <cfRule type="expression" priority="210" aboveAverage="0" equalAverage="0" bottom="0" percent="0" rank="0" text="" dxfId="0">
      <formula>ISNUMBER(SEARCH("NOT YET",D23))</formula>
    </cfRule>
    <cfRule type="expression" priority="211" aboveAverage="0" equalAverage="0" bottom="0" percent="0" rank="0" text="" dxfId="0">
      <formula>ISNUMBER(SEARCH("HALF",D23))</formula>
    </cfRule>
    <cfRule type="expression" priority="212" aboveAverage="0" equalAverage="0" bottom="0" percent="0" rank="0" text="" dxfId="0">
      <formula>ISNUMBER(SEARCH("INCOMPLETE",D23))</formula>
    </cfRule>
    <cfRule type="expression" priority="213" aboveAverage="0" equalAverage="0" bottom="0" percent="0" rank="0" text="" dxfId="0">
      <formula>ISNUMBER(SEARCH("ALERT",D23))</formula>
    </cfRule>
    <cfRule type="expression" priority="214" aboveAverage="0" equalAverage="0" bottom="0" percent="0" rank="0" text="" dxfId="0">
      <formula>ISNUMBER(SEARCH("BELOW",D23))</formula>
    </cfRule>
    <cfRule type="expression" priority="215" aboveAverage="0" equalAverage="0" bottom="0" percent="0" rank="0" text="" dxfId="0">
      <formula>ISNUMBER(SEARCH("FAIL",D23))</formula>
    </cfRule>
    <cfRule type="expression" priority="216" aboveAverage="0" equalAverage="0" bottom="0" percent="0" rank="0" text="" dxfId="0">
      <formula>ISNUMBER(SEARCH("STAGNANT",D23))</formula>
    </cfRule>
    <cfRule type="expression" priority="217" aboveAverage="0" equalAverage="0" bottom="0" percent="0" rank="0" text="" dxfId="0">
      <formula>ISNUMBER(SEARCH("MISSING",D23))</formula>
    </cfRule>
    <cfRule type="expression" priority="218" aboveAverage="0" equalAverage="0" bottom="0" percent="0" rank="0" text="" dxfId="0">
      <formula>ISNUMBER(SEARCH("PLANTED",D23))</formula>
    </cfRule>
    <cfRule type="expression" priority="219" aboveAverage="0" equalAverage="0" bottom="0" percent="0" rank="0" text="" dxfId="0">
      <formula>ISNUMBER(SEARCH("WRITE WITHOUT",D23))</formula>
    </cfRule>
    <cfRule type="expression" priority="220" aboveAverage="0" equalAverage="0" bottom="0" percent="0" rank="0" text="" dxfId="0">
      <formula>ISNUMBER(SEARCH("CHALLENGE",D23))</formula>
    </cfRule>
    <cfRule type="expression" priority="221" aboveAverage="0" equalAverage="0" bottom="0" percent="0" rank="0" text="" dxfId="0">
      <formula>ISNUMBER(SEARCH("NOT STARTED",D23))</formula>
    </cfRule>
    <cfRule type="expression" priority="222" aboveAverage="0" equalAverage="0" bottom="0" percent="0" rank="0" text="" dxfId="0">
      <formula>ISNUMBER(SEARCH("DISCUSS",D23))</formula>
    </cfRule>
    <cfRule type="expression" priority="223" aboveAverage="0" equalAverage="0" bottom="0" percent="0" rank="0" text="" dxfId="0">
      <formula>ISNUMBER(SEARCH("UNSIGNED",D23))</formula>
    </cfRule>
    <cfRule type="expression" priority="224" aboveAverage="0" equalAverage="0" bottom="0" percent="0" rank="0" text="" dxfId="0">
      <formula>ISNUMBER(SEARCH("FALSE ALARM",D23))</formula>
    </cfRule>
    <cfRule type="expression" priority="225" aboveAverage="0" equalAverage="0" bottom="0" percent="0" rank="0" text="" dxfId="0">
      <formula>ISNUMBER(SEARCH("MISSED",D23))</formula>
    </cfRule>
    <cfRule type="expression" priority="226" aboveAverage="0" equalAverage="0" bottom="0" percent="0" rank="0" text="" dxfId="0">
      <formula>ISNUMBER(SEARCH("COSTUME",D23))</formula>
    </cfRule>
    <cfRule type="expression" priority="227" aboveAverage="0" equalAverage="0" bottom="0" percent="0" rank="0" text="" dxfId="0">
      <formula>ISNUMBER(SEARCH("PROMISE WITHOUT",D23))</formula>
    </cfRule>
    <cfRule type="expression" priority="228" aboveAverage="0" equalAverage="0" bottom="0" percent="0" rank="0" text="" dxfId="1">
      <formula>ISNUMBER(SEARCH("BORDERLINE",D23))</formula>
    </cfRule>
    <cfRule type="expression" priority="229" aboveAverage="0" equalAverage="0" bottom="0" percent="0" rank="0" text="" dxfId="1">
      <formula>ISNUMBER(SEARCH("WORKFLOW",D23))</formula>
    </cfRule>
    <cfRule type="expression" priority="230" aboveAverage="0" equalAverage="0" bottom="0" percent="0" rank="0" text="" dxfId="1">
      <formula>ISNUMBER(SEARCH("PENDING",D23))</formula>
    </cfRule>
    <cfRule type="expression" priority="231" aboveAverage="0" equalAverage="0" bottom="0" percent="0" rank="0" text="" dxfId="1">
      <formula>ISNUMBER(SEARCH("ADVISORY",D23))</formula>
    </cfRule>
    <cfRule type="expression" priority="232" aboveAverage="0" equalAverage="0" bottom="0" percent="0" rank="0" text="" dxfId="1">
      <formula>ISNUMBER(SEARCH("ABOVE",D23))</formula>
    </cfRule>
    <cfRule type="expression" priority="233" aboveAverage="0" equalAverage="0" bottom="0" percent="0" rank="0" text="" dxfId="1">
      <formula>ISNUMBER(SEARCH("TUNE",D23))</formula>
    </cfRule>
    <cfRule type="expression" priority="234" aboveAverage="0" equalAverage="0" bottom="0" percent="0" rank="0" text="" dxfId="1">
      <formula>ISNUMBER(SEARCH("REVIEW",D23))</formula>
    </cfRule>
    <cfRule type="expression" priority="235" aboveAverage="0" equalAverage="0" bottom="0" percent="0" rank="0" text="" dxfId="1">
      <formula>ISNUMBER(SEARCH("DECIDE",D23))</formula>
    </cfRule>
    <cfRule type="expression" priority="236" aboveAverage="0" equalAverage="0" bottom="0" percent="0" rank="0" text="" dxfId="1">
      <formula>ISNUMBER(SEARCH("IN PROGRESS",D23))</formula>
    </cfRule>
    <cfRule type="expression" priority="237" aboveAverage="0" equalAverage="0" bottom="0" percent="0" rank="0" text="" dxfId="1">
      <formula>ISNUMBER(SEARCH("PARTIAL",D23))</formula>
    </cfRule>
    <cfRule type="expression" priority="238" aboveAverage="0" equalAverage="0" bottom="0" percent="0" rank="0" text="" dxfId="1">
      <formula>ISNUMBER(SEARCH("NO DATA",D23))</formula>
    </cfRule>
    <cfRule type="expression" priority="239" aboveAverage="0" equalAverage="0" bottom="0" percent="0" rank="0" text="" dxfId="1">
      <formula>ISNUMBER(SEARCH("NOT RUN",D23))</formula>
    </cfRule>
    <cfRule type="expression" priority="240" aboveAverage="0" equalAverage="0" bottom="0" percent="0" rank="0" text="" dxfId="1">
      <formula>ISNUMBER(SEARCH("EVALUATE",D23))</formula>
    </cfRule>
    <cfRule type="expression" priority="241" aboveAverage="0" equalAverage="0" bottom="0" percent="0" rank="0" text="" dxfId="1">
      <formula>ISNUMBER(SEARCH("TIGHTEN",D23))</formula>
    </cfRule>
    <cfRule type="expression" priority="242" aboveAverage="0" equalAverage="0" bottom="0" percent="0" rank="0" text="" dxfId="1">
      <formula>ISNUMBER(SEARCH("LOOSEN",D23))</formula>
    </cfRule>
    <cfRule type="expression" priority="243" aboveAverage="0" equalAverage="0" bottom="0" percent="0" rank="0" text="" dxfId="1">
      <formula>ISNUMBER(SEARCH("WEAK",D23))</formula>
    </cfRule>
    <cfRule type="expression" priority="244" aboveAverage="0" equalAverage="0" bottom="0" percent="0" rank="0" text="" dxfId="1">
      <formula>ISNUMBER(SEARCH("ADJACENT",D23))</formula>
    </cfRule>
    <cfRule type="expression" priority="245" aboveAverage="0" equalAverage="0" bottom="0" percent="0" rank="0" text="" dxfId="1">
      <formula>ISNUMBER(SEARCH("GAPS",D23))</formula>
    </cfRule>
    <cfRule type="expression" priority="246" aboveAverage="0" equalAverage="0" bottom="0" percent="0" rank="0" text="" dxfId="1">
      <formula>ISNUMBER(SEARCH("ADD ONE",D23))</formula>
    </cfRule>
    <cfRule type="expression" priority="247" aboveAverage="0" equalAverage="0" bottom="0" percent="0" rank="0" text="" dxfId="1">
      <formula>ISNUMBER(SEARCH("⚠",D23))</formula>
    </cfRule>
    <cfRule type="expression" priority="248" aboveAverage="0" equalAverage="0" bottom="0" percent="0" rank="0" text="" dxfId="2">
      <formula>ISNUMBER(SEARCH("PASS",D23))</formula>
    </cfRule>
    <cfRule type="expression" priority="249" aboveAverage="0" equalAverage="0" bottom="0" percent="0" rank="0" text="" dxfId="2">
      <formula>ISNUMBER(SEARCH("GO",D23))</formula>
    </cfRule>
    <cfRule type="expression" priority="250" aboveAverage="0" equalAverage="0" bottom="0" percent="0" rank="0" text="" dxfId="2">
      <formula>ISNUMBER(SEARCH("BUILD",D23))</formula>
    </cfRule>
    <cfRule type="expression" priority="251" aboveAverage="0" equalAverage="0" bottom="0" percent="0" rank="0" text="" dxfId="2">
      <formula>ISNUMBER(SEARCH("COMPLETE",D23))</formula>
    </cfRule>
    <cfRule type="expression" priority="252" aboveAverage="0" equalAverage="0" bottom="0" percent="0" rank="0" text="" dxfId="2">
      <formula>ISNUMBER(SEARCH("ELIGIBLE",D23))</formula>
    </cfRule>
    <cfRule type="expression" priority="253" aboveAverage="0" equalAverage="0" bottom="0" percent="0" rank="0" text="" dxfId="2">
      <formula>ISNUMBER(SEARCH("SHIP",D23))</formula>
    </cfRule>
    <cfRule type="expression" priority="254" aboveAverage="0" equalAverage="0" bottom="0" percent="0" rank="0" text="" dxfId="2">
      <formula>ISNUMBER(SEARCH("ON TARGET",D23))</formula>
    </cfRule>
    <cfRule type="expression" priority="255" aboveAverage="0" equalAverage="0" bottom="0" percent="0" rank="0" text="" dxfId="2">
      <formula>ISNUMBER(SEARCH("ON TRACK",D23))</formula>
    </cfRule>
    <cfRule type="expression" priority="256" aboveAverage="0" equalAverage="0" bottom="0" percent="0" rank="0" text="" dxfId="2">
      <formula>ISNUMBER(SEARCH("RESOLVED",D23))</formula>
    </cfRule>
    <cfRule type="expression" priority="257" aboveAverage="0" equalAverage="0" bottom="0" percent="0" rank="0" text="" dxfId="2">
      <formula>ISNUMBER(SEARCH("OK",D23))</formula>
    </cfRule>
    <cfRule type="expression" priority="258" aboveAverage="0" equalAverage="0" bottom="0" percent="0" rank="0" text="" dxfId="2">
      <formula>ISNUMBER(SEARCH("MATCH",D23))</formula>
    </cfRule>
    <cfRule type="expression" priority="259" aboveAverage="0" equalAverage="0" bottom="0" percent="0" rank="0" text="" dxfId="2">
      <formula>ISNUMBER(SEARCH("SOUND",D23))</formula>
    </cfRule>
    <cfRule type="expression" priority="260" aboveAverage="0" equalAverage="0" bottom="0" percent="0" rank="0" text="" dxfId="2">
      <formula>ISNUMBER(SEARCH("WITHIN",D23))</formula>
    </cfRule>
    <cfRule type="expression" priority="261" aboveAverage="0" equalAverage="0" bottom="0" percent="0" rank="0" text="" dxfId="2">
      <formula>ISNUMBER(SEARCH("DONE",D23))</formula>
    </cfRule>
    <cfRule type="expression" priority="262" aboveAverage="0" equalAverage="0" bottom="0" percent="0" rank="0" text="" dxfId="2">
      <formula>ISNUMBER(SEARCH("SIGNED",D23))</formula>
    </cfRule>
    <cfRule type="expression" priority="263" aboveAverage="0" equalAverage="0" bottom="0" percent="0" rank="0" text="" dxfId="2">
      <formula>ISNUMBER(SEARCH("✓",D23))</formula>
    </cfRule>
    <cfRule type="expression" priority="264" aboveAverage="0" equalAverage="0" bottom="0" percent="0" rank="0" text="" dxfId="2">
      <formula>ISNUMBER(SEARCH("KEEP",D23))</formula>
    </cfRule>
    <cfRule type="expression" priority="265" aboveAverage="0" equalAverage="0" bottom="0" percent="0" rank="0" text="" dxfId="2">
      <formula>ISNUMBER(SEARCH("DEV-READY",D23))</formula>
    </cfRule>
    <cfRule type="expression" priority="266" aboveAverage="0" equalAverage="0" bottom="0" percent="0" rank="0" text="" dxfId="2">
      <formula>ISNUMBER(SEARCH("GREW",D23))</formula>
    </cfRule>
    <cfRule type="expression" priority="267" aboveAverage="0" equalAverage="0" bottom="0" percent="0" rank="0" text="" dxfId="2">
      <formula>ISNUMBER(SEARCH("HIT",D23))</formula>
    </cfRule>
    <cfRule type="expression" priority="268" aboveAverage="0" equalAverage="0" bottom="0" percent="0" rank="0" text="" dxfId="2">
      <formula>ISNUMBER(SEARCH("CORRECT",D23))</formula>
    </cfRule>
    <cfRule type="expression" priority="269" aboveAverage="0" equalAverage="0" bottom="0" percent="0" rank="0" text="" dxfId="2">
      <formula>ISNUMBER(SEARCH("STAY",D23))</formula>
    </cfRule>
  </conditionalFormatting>
  <dataValidations count="2">
    <dataValidation allowBlank="true" errorStyle="stop" operator="between" showDropDown="false" showErrorMessage="false" showInputMessage="false" sqref="D6:G10" type="list">
      <formula1>"YES,NO"</formula1>
      <formula2>0</formula2>
    </dataValidation>
    <dataValidation allowBlank="true" errorStyle="stop" operator="between" showDropDown="false" showErrorMessage="false" showInputMessage="false" sqref="D23:D2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F4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56"/>
    <col collapsed="false" customWidth="true" hidden="false" outlineLevel="0" max="4" min="4" style="1" width="13"/>
    <col collapsed="false" customWidth="true" hidden="false" outlineLevel="0" max="5" min="5" style="1" width="44"/>
    <col collapsed="false" customWidth="true" hidden="false" outlineLevel="0" max="6" min="6" style="1" width="18"/>
    <col collapsed="false" customWidth="true" hidden="false" outlineLevel="0" max="7" min="7" style="1" width="13"/>
    <col collapsed="false" customWidth="true" hidden="false" outlineLevel="0" max="8" min="8" style="1" width="30"/>
    <col collapsed="false" customWidth="true" hidden="false" outlineLevel="0" max="9" min="9" style="1" width="36"/>
  </cols>
  <sheetData>
    <row r="1" customFormat="false" ht="18" hidden="false" customHeight="true" outlineLevel="0" collapsed="false">
      <c r="A1" s="7" t="s">
        <v>159</v>
      </c>
    </row>
    <row r="2" customFormat="false" ht="23.25" hidden="false" customHeight="true" outlineLevel="0" collapsed="false">
      <c r="A2" s="8" t="s">
        <v>160</v>
      </c>
      <c r="G2" s="15" t="s">
        <v>51</v>
      </c>
      <c r="H2" s="13" t="str">
        <f aca="false">IF(AND(COUNTIF(D6:D10,"YES")=5,COUNTIF(F14:F18,"OK")=5),"PASS","HOLD")</f>
        <v>PASS</v>
      </c>
      <c r="I2" s="14" t="str">
        <f aca="false">COUNTIF(F14:F18,"DECIDE*")&amp;" write action(s) undefined · "&amp;COUNTIF(D6:D10,"YES")&amp;"/5 conversations held"</f>
        <v>0 write action(s) undefined · 5/5 conversations held</v>
      </c>
    </row>
    <row r="4" customFormat="false" ht="15" hidden="false" customHeight="true" outlineLevel="0" collapsed="false">
      <c r="B4" s="4" t="s">
        <v>161</v>
      </c>
    </row>
    <row r="5" customFormat="false" ht="15" hidden="false" customHeight="true" outlineLevel="0" collapsed="false">
      <c r="B5" s="11" t="s">
        <v>162</v>
      </c>
      <c r="C5" s="11" t="s">
        <v>163</v>
      </c>
      <c r="D5" s="11" t="s">
        <v>164</v>
      </c>
      <c r="E5" s="11" t="s">
        <v>165</v>
      </c>
      <c r="F5" s="11" t="s">
        <v>166</v>
      </c>
    </row>
    <row r="6" customFormat="false" ht="31.5" hidden="false" customHeight="true" outlineLevel="0" collapsed="false">
      <c r="B6" s="12" t="s">
        <v>167</v>
      </c>
      <c r="C6" s="17" t="s">
        <v>168</v>
      </c>
      <c r="D6" s="24" t="s">
        <v>79</v>
      </c>
      <c r="E6" s="10" t="s">
        <v>169</v>
      </c>
      <c r="F6" s="10" t="s">
        <v>170</v>
      </c>
    </row>
    <row r="7" customFormat="false" ht="31.5" hidden="false" customHeight="true" outlineLevel="0" collapsed="false">
      <c r="B7" s="12" t="s">
        <v>171</v>
      </c>
      <c r="C7" s="17" t="s">
        <v>172</v>
      </c>
      <c r="D7" s="24" t="s">
        <v>79</v>
      </c>
      <c r="E7" s="10" t="s">
        <v>173</v>
      </c>
      <c r="F7" s="10" t="s">
        <v>174</v>
      </c>
    </row>
    <row r="8" customFormat="false" ht="31.5" hidden="false" customHeight="true" outlineLevel="0" collapsed="false">
      <c r="B8" s="12" t="s">
        <v>175</v>
      </c>
      <c r="C8" s="17" t="s">
        <v>176</v>
      </c>
      <c r="D8" s="24" t="s">
        <v>79</v>
      </c>
      <c r="E8" s="10" t="s">
        <v>177</v>
      </c>
      <c r="F8" s="10" t="s">
        <v>178</v>
      </c>
    </row>
    <row r="9" customFormat="false" ht="31.5" hidden="false" customHeight="true" outlineLevel="0" collapsed="false">
      <c r="B9" s="12" t="s">
        <v>179</v>
      </c>
      <c r="C9" s="17" t="s">
        <v>180</v>
      </c>
      <c r="D9" s="24" t="s">
        <v>79</v>
      </c>
      <c r="E9" s="10" t="s">
        <v>181</v>
      </c>
      <c r="F9" s="10" t="s">
        <v>182</v>
      </c>
    </row>
    <row r="10" customFormat="false" ht="31.5" hidden="false" customHeight="true" outlineLevel="0" collapsed="false">
      <c r="B10" s="12" t="s">
        <v>183</v>
      </c>
      <c r="C10" s="17" t="s">
        <v>184</v>
      </c>
      <c r="D10" s="24" t="s">
        <v>79</v>
      </c>
      <c r="E10" s="10" t="s">
        <v>185</v>
      </c>
      <c r="F10" s="10" t="s">
        <v>186</v>
      </c>
    </row>
    <row r="12" customFormat="false" ht="15" hidden="false" customHeight="true" outlineLevel="0" collapsed="false">
      <c r="B12" s="4" t="s">
        <v>187</v>
      </c>
    </row>
    <row r="13" customFormat="false" ht="15" hidden="false" customHeight="true" outlineLevel="0" collapsed="false">
      <c r="B13" s="11" t="s">
        <v>188</v>
      </c>
      <c r="C13" s="11" t="s">
        <v>189</v>
      </c>
      <c r="D13" s="11" t="s">
        <v>190</v>
      </c>
      <c r="E13" s="11" t="s">
        <v>191</v>
      </c>
      <c r="F13" s="11" t="s">
        <v>77</v>
      </c>
    </row>
    <row r="14" customFormat="false" ht="23.25" hidden="false" customHeight="true" outlineLevel="0" collapsed="false">
      <c r="B14" s="24" t="s">
        <v>192</v>
      </c>
      <c r="C14" s="10" t="s">
        <v>193</v>
      </c>
      <c r="D14" s="10" t="s">
        <v>194</v>
      </c>
      <c r="E14" s="10" t="s">
        <v>195</v>
      </c>
      <c r="F14" s="13" t="str">
        <f aca="false">IF(D14="Undefined","DECIDE — fail closed or open?","OK")</f>
        <v>OK</v>
      </c>
    </row>
    <row r="15" customFormat="false" ht="23.25" hidden="false" customHeight="true" outlineLevel="0" collapsed="false">
      <c r="B15" s="24" t="s">
        <v>196</v>
      </c>
      <c r="C15" s="10" t="s">
        <v>197</v>
      </c>
      <c r="D15" s="10" t="s">
        <v>194</v>
      </c>
      <c r="E15" s="10" t="s">
        <v>198</v>
      </c>
      <c r="F15" s="13" t="str">
        <f aca="false">IF(D15="Undefined","DECIDE — fail closed or open?","OK")</f>
        <v>OK</v>
      </c>
    </row>
    <row r="16" customFormat="false" ht="23.25" hidden="false" customHeight="true" outlineLevel="0" collapsed="false">
      <c r="B16" s="24" t="s">
        <v>199</v>
      </c>
      <c r="C16" s="10" t="s">
        <v>200</v>
      </c>
      <c r="D16" s="10" t="s">
        <v>201</v>
      </c>
      <c r="E16" s="10" t="s">
        <v>202</v>
      </c>
      <c r="F16" s="13" t="str">
        <f aca="false">IF(D16="Undefined","DECIDE — fail closed or open?","OK")</f>
        <v>OK</v>
      </c>
    </row>
    <row r="17" customFormat="false" ht="23.25" hidden="false" customHeight="true" outlineLevel="0" collapsed="false">
      <c r="B17" s="24" t="s">
        <v>203</v>
      </c>
      <c r="C17" s="10" t="s">
        <v>204</v>
      </c>
      <c r="D17" s="10" t="s">
        <v>194</v>
      </c>
      <c r="E17" s="10" t="s">
        <v>205</v>
      </c>
      <c r="F17" s="13" t="str">
        <f aca="false">IF(D17="Undefined","DECIDE — fail closed or open?","OK")</f>
        <v>OK</v>
      </c>
    </row>
    <row r="18" customFormat="false" ht="23.25" hidden="false" customHeight="true" outlineLevel="0" collapsed="false">
      <c r="B18" s="24" t="s">
        <v>206</v>
      </c>
      <c r="C18" s="10" t="s">
        <v>207</v>
      </c>
      <c r="D18" s="10" t="s">
        <v>201</v>
      </c>
      <c r="E18" s="10" t="s">
        <v>208</v>
      </c>
      <c r="F18" s="13" t="str">
        <f aca="false">IF(D18="Undefined","DECIDE — fail closed or open?","OK")</f>
        <v>OK</v>
      </c>
    </row>
    <row r="19" customFormat="false" ht="15" hidden="false" customHeight="true" outlineLevel="0" collapsed="false">
      <c r="B19" s="16" t="s">
        <v>209</v>
      </c>
      <c r="C19" s="16"/>
      <c r="D19" s="16"/>
      <c r="E19" s="16"/>
      <c r="F19" s="16"/>
      <c r="G19" s="16"/>
      <c r="H19" s="16"/>
      <c r="I19" s="16"/>
    </row>
  </sheetData>
  <mergeCells count="1">
    <mergeCell ref="B19:I19"/>
  </mergeCells>
  <conditionalFormatting sqref="H2">
    <cfRule type="expression" priority="2" aboveAverage="0" equalAverage="0" bottom="0" percent="0" rank="0" text="" dxfId="0">
      <formula>ISNUMBER(SEARCH("NO-GO",H2))</formula>
    </cfRule>
    <cfRule type="expression" priority="3" aboveAverage="0" equalAverage="0" bottom="0" percent="0" rank="0" text="" dxfId="0">
      <formula>ISNUMBER(SEARCH("HOLD",H2))</formula>
    </cfRule>
    <cfRule type="expression" priority="4" aboveAverage="0" equalAverage="0" bottom="0" percent="0" rank="0" text="" dxfId="0">
      <formula>ISNUMBER(SEARCH("KILL",H2))</formula>
    </cfRule>
    <cfRule type="expression" priority="5" aboveAverage="0" equalAverage="0" bottom="0" percent="0" rank="0" text="" dxfId="0">
      <formula>ISNUMBER(SEARCH("BLOCKED",H2))</formula>
    </cfRule>
    <cfRule type="expression" priority="6" aboveAverage="0" equalAverage="0" bottom="0" percent="0" rank="0" text="" dxfId="0">
      <formula>ISNUMBER(SEARCH("INVALID",H2))</formula>
    </cfRule>
    <cfRule type="expression" priority="7" aboveAverage="0" equalAverage="0" bottom="0" percent="0" rank="0" text="" dxfId="0">
      <formula>ISNUMBER(SEARCH("VIOLATION",H2))</formula>
    </cfRule>
    <cfRule type="expression" priority="8" aboveAverage="0" equalAverage="0" bottom="0" percent="0" rank="0" text="" dxfId="0">
      <formula>ISNUMBER(SEARCH("UNDER-SLACKED",H2))</formula>
    </cfRule>
    <cfRule type="expression" priority="9" aboveAverage="0" equalAverage="0" bottom="0" percent="0" rank="0" text="" dxfId="0">
      <formula>ISNUMBER(SEARCH("NOT YET",H2))</formula>
    </cfRule>
    <cfRule type="expression" priority="10" aboveAverage="0" equalAverage="0" bottom="0" percent="0" rank="0" text="" dxfId="0">
      <formula>ISNUMBER(SEARCH("HALF",H2))</formula>
    </cfRule>
    <cfRule type="expression" priority="11" aboveAverage="0" equalAverage="0" bottom="0" percent="0" rank="0" text="" dxfId="0">
      <formula>ISNUMBER(SEARCH("INCOMPLETE",H2))</formula>
    </cfRule>
    <cfRule type="expression" priority="12" aboveAverage="0" equalAverage="0" bottom="0" percent="0" rank="0" text="" dxfId="0">
      <formula>ISNUMBER(SEARCH("ALERT",H2))</formula>
    </cfRule>
    <cfRule type="expression" priority="13" aboveAverage="0" equalAverage="0" bottom="0" percent="0" rank="0" text="" dxfId="0">
      <formula>ISNUMBER(SEARCH("BELOW",H2))</formula>
    </cfRule>
    <cfRule type="expression" priority="14" aboveAverage="0" equalAverage="0" bottom="0" percent="0" rank="0" text="" dxfId="0">
      <formula>ISNUMBER(SEARCH("FAIL",H2))</formula>
    </cfRule>
    <cfRule type="expression" priority="15" aboveAverage="0" equalAverage="0" bottom="0" percent="0" rank="0" text="" dxfId="0">
      <formula>ISNUMBER(SEARCH("STAGNANT",H2))</formula>
    </cfRule>
    <cfRule type="expression" priority="16" aboveAverage="0" equalAverage="0" bottom="0" percent="0" rank="0" text="" dxfId="0">
      <formula>ISNUMBER(SEARCH("MISSING",H2))</formula>
    </cfRule>
    <cfRule type="expression" priority="17" aboveAverage="0" equalAverage="0" bottom="0" percent="0" rank="0" text="" dxfId="0">
      <formula>ISNUMBER(SEARCH("PLANTED",H2))</formula>
    </cfRule>
    <cfRule type="expression" priority="18" aboveAverage="0" equalAverage="0" bottom="0" percent="0" rank="0" text="" dxfId="0">
      <formula>ISNUMBER(SEARCH("WRITE WITHOUT",H2))</formula>
    </cfRule>
    <cfRule type="expression" priority="19" aboveAverage="0" equalAverage="0" bottom="0" percent="0" rank="0" text="" dxfId="0">
      <formula>ISNUMBER(SEARCH("CHALLENGE",H2))</formula>
    </cfRule>
    <cfRule type="expression" priority="20" aboveAverage="0" equalAverage="0" bottom="0" percent="0" rank="0" text="" dxfId="0">
      <formula>ISNUMBER(SEARCH("NOT STARTED",H2))</formula>
    </cfRule>
    <cfRule type="expression" priority="21" aboveAverage="0" equalAverage="0" bottom="0" percent="0" rank="0" text="" dxfId="0">
      <formula>ISNUMBER(SEARCH("DISCUSS",H2))</formula>
    </cfRule>
    <cfRule type="expression" priority="22" aboveAverage="0" equalAverage="0" bottom="0" percent="0" rank="0" text="" dxfId="0">
      <formula>ISNUMBER(SEARCH("UNSIGNED",H2))</formula>
    </cfRule>
    <cfRule type="expression" priority="23" aboveAverage="0" equalAverage="0" bottom="0" percent="0" rank="0" text="" dxfId="0">
      <formula>ISNUMBER(SEARCH("FALSE ALARM",H2))</formula>
    </cfRule>
    <cfRule type="expression" priority="24" aboveAverage="0" equalAverage="0" bottom="0" percent="0" rank="0" text="" dxfId="0">
      <formula>ISNUMBER(SEARCH("MISSED",H2))</formula>
    </cfRule>
    <cfRule type="expression" priority="25" aboveAverage="0" equalAverage="0" bottom="0" percent="0" rank="0" text="" dxfId="0">
      <formula>ISNUMBER(SEARCH("COSTUME",H2))</formula>
    </cfRule>
    <cfRule type="expression" priority="26" aboveAverage="0" equalAverage="0" bottom="0" percent="0" rank="0" text="" dxfId="0">
      <formula>ISNUMBER(SEARCH("PROMISE WITHOUT",H2))</formula>
    </cfRule>
    <cfRule type="expression" priority="27" aboveAverage="0" equalAverage="0" bottom="0" percent="0" rank="0" text="" dxfId="1">
      <formula>ISNUMBER(SEARCH("BORDERLINE",H2))</formula>
    </cfRule>
    <cfRule type="expression" priority="28" aboveAverage="0" equalAverage="0" bottom="0" percent="0" rank="0" text="" dxfId="1">
      <formula>ISNUMBER(SEARCH("WORKFLOW",H2))</formula>
    </cfRule>
    <cfRule type="expression" priority="29" aboveAverage="0" equalAverage="0" bottom="0" percent="0" rank="0" text="" dxfId="1">
      <formula>ISNUMBER(SEARCH("PENDING",H2))</formula>
    </cfRule>
    <cfRule type="expression" priority="30" aboveAverage="0" equalAverage="0" bottom="0" percent="0" rank="0" text="" dxfId="1">
      <formula>ISNUMBER(SEARCH("ADVISORY",H2))</formula>
    </cfRule>
    <cfRule type="expression" priority="31" aboveAverage="0" equalAverage="0" bottom="0" percent="0" rank="0" text="" dxfId="1">
      <formula>ISNUMBER(SEARCH("ABOVE",H2))</formula>
    </cfRule>
    <cfRule type="expression" priority="32" aboveAverage="0" equalAverage="0" bottom="0" percent="0" rank="0" text="" dxfId="1">
      <formula>ISNUMBER(SEARCH("TUNE",H2))</formula>
    </cfRule>
    <cfRule type="expression" priority="33" aboveAverage="0" equalAverage="0" bottom="0" percent="0" rank="0" text="" dxfId="1">
      <formula>ISNUMBER(SEARCH("REVIEW",H2))</formula>
    </cfRule>
    <cfRule type="expression" priority="34" aboveAverage="0" equalAverage="0" bottom="0" percent="0" rank="0" text="" dxfId="1">
      <formula>ISNUMBER(SEARCH("DECIDE",H2))</formula>
    </cfRule>
    <cfRule type="expression" priority="35" aboveAverage="0" equalAverage="0" bottom="0" percent="0" rank="0" text="" dxfId="1">
      <formula>ISNUMBER(SEARCH("IN PROGRESS",H2))</formula>
    </cfRule>
    <cfRule type="expression" priority="36" aboveAverage="0" equalAverage="0" bottom="0" percent="0" rank="0" text="" dxfId="1">
      <formula>ISNUMBER(SEARCH("PARTIAL",H2))</formula>
    </cfRule>
    <cfRule type="expression" priority="37" aboveAverage="0" equalAverage="0" bottom="0" percent="0" rank="0" text="" dxfId="1">
      <formula>ISNUMBER(SEARCH("NO DATA",H2))</formula>
    </cfRule>
    <cfRule type="expression" priority="38" aboveAverage="0" equalAverage="0" bottom="0" percent="0" rank="0" text="" dxfId="1">
      <formula>ISNUMBER(SEARCH("NOT RUN",H2))</formula>
    </cfRule>
    <cfRule type="expression" priority="39" aboveAverage="0" equalAverage="0" bottom="0" percent="0" rank="0" text="" dxfId="1">
      <formula>ISNUMBER(SEARCH("EVALUATE",H2))</formula>
    </cfRule>
    <cfRule type="expression" priority="40" aboveAverage="0" equalAverage="0" bottom="0" percent="0" rank="0" text="" dxfId="1">
      <formula>ISNUMBER(SEARCH("TIGHTEN",H2))</formula>
    </cfRule>
    <cfRule type="expression" priority="41" aboveAverage="0" equalAverage="0" bottom="0" percent="0" rank="0" text="" dxfId="1">
      <formula>ISNUMBER(SEARCH("LOOSEN",H2))</formula>
    </cfRule>
    <cfRule type="expression" priority="42" aboveAverage="0" equalAverage="0" bottom="0" percent="0" rank="0" text="" dxfId="1">
      <formula>ISNUMBER(SEARCH("WEAK",H2))</formula>
    </cfRule>
    <cfRule type="expression" priority="43" aboveAverage="0" equalAverage="0" bottom="0" percent="0" rank="0" text="" dxfId="1">
      <formula>ISNUMBER(SEARCH("ADJACENT",H2))</formula>
    </cfRule>
    <cfRule type="expression" priority="44" aboveAverage="0" equalAverage="0" bottom="0" percent="0" rank="0" text="" dxfId="1">
      <formula>ISNUMBER(SEARCH("GAPS",H2))</formula>
    </cfRule>
    <cfRule type="expression" priority="45" aboveAverage="0" equalAverage="0" bottom="0" percent="0" rank="0" text="" dxfId="1">
      <formula>ISNUMBER(SEARCH("ADD ONE",H2))</formula>
    </cfRule>
    <cfRule type="expression" priority="46" aboveAverage="0" equalAverage="0" bottom="0" percent="0" rank="0" text="" dxfId="1">
      <formula>ISNUMBER(SEARCH("⚠",H2))</formula>
    </cfRule>
    <cfRule type="expression" priority="47" aboveAverage="0" equalAverage="0" bottom="0" percent="0" rank="0" text="" dxfId="2">
      <formula>ISNUMBER(SEARCH("PASS",H2))</formula>
    </cfRule>
    <cfRule type="expression" priority="48" aboveAverage="0" equalAverage="0" bottom="0" percent="0" rank="0" text="" dxfId="2">
      <formula>ISNUMBER(SEARCH("GO",H2))</formula>
    </cfRule>
    <cfRule type="expression" priority="49" aboveAverage="0" equalAverage="0" bottom="0" percent="0" rank="0" text="" dxfId="2">
      <formula>ISNUMBER(SEARCH("BUILD",H2))</formula>
    </cfRule>
    <cfRule type="expression" priority="50" aboveAverage="0" equalAverage="0" bottom="0" percent="0" rank="0" text="" dxfId="2">
      <formula>ISNUMBER(SEARCH("COMPLETE",H2))</formula>
    </cfRule>
    <cfRule type="expression" priority="51" aboveAverage="0" equalAverage="0" bottom="0" percent="0" rank="0" text="" dxfId="2">
      <formula>ISNUMBER(SEARCH("ELIGIBLE",H2))</formula>
    </cfRule>
    <cfRule type="expression" priority="52" aboveAverage="0" equalAverage="0" bottom="0" percent="0" rank="0" text="" dxfId="2">
      <formula>ISNUMBER(SEARCH("SHIP",H2))</formula>
    </cfRule>
    <cfRule type="expression" priority="53" aboveAverage="0" equalAverage="0" bottom="0" percent="0" rank="0" text="" dxfId="2">
      <formula>ISNUMBER(SEARCH("ON TARGET",H2))</formula>
    </cfRule>
    <cfRule type="expression" priority="54" aboveAverage="0" equalAverage="0" bottom="0" percent="0" rank="0" text="" dxfId="2">
      <formula>ISNUMBER(SEARCH("ON TRACK",H2))</formula>
    </cfRule>
    <cfRule type="expression" priority="55" aboveAverage="0" equalAverage="0" bottom="0" percent="0" rank="0" text="" dxfId="2">
      <formula>ISNUMBER(SEARCH("RESOLVED",H2))</formula>
    </cfRule>
    <cfRule type="expression" priority="56" aboveAverage="0" equalAverage="0" bottom="0" percent="0" rank="0" text="" dxfId="2">
      <formula>ISNUMBER(SEARCH("OK",H2))</formula>
    </cfRule>
    <cfRule type="expression" priority="57" aboveAverage="0" equalAverage="0" bottom="0" percent="0" rank="0" text="" dxfId="2">
      <formula>ISNUMBER(SEARCH("MATCH",H2))</formula>
    </cfRule>
    <cfRule type="expression" priority="58" aboveAverage="0" equalAverage="0" bottom="0" percent="0" rank="0" text="" dxfId="2">
      <formula>ISNUMBER(SEARCH("SOUND",H2))</formula>
    </cfRule>
    <cfRule type="expression" priority="59" aboveAverage="0" equalAverage="0" bottom="0" percent="0" rank="0" text="" dxfId="2">
      <formula>ISNUMBER(SEARCH("WITHIN",H2))</formula>
    </cfRule>
    <cfRule type="expression" priority="60" aboveAverage="0" equalAverage="0" bottom="0" percent="0" rank="0" text="" dxfId="2">
      <formula>ISNUMBER(SEARCH("DONE",H2))</formula>
    </cfRule>
    <cfRule type="expression" priority="61" aboveAverage="0" equalAverage="0" bottom="0" percent="0" rank="0" text="" dxfId="2">
      <formula>ISNUMBER(SEARCH("SIGNED",H2))</formula>
    </cfRule>
    <cfRule type="expression" priority="62" aboveAverage="0" equalAverage="0" bottom="0" percent="0" rank="0" text="" dxfId="2">
      <formula>ISNUMBER(SEARCH("✓",H2))</formula>
    </cfRule>
    <cfRule type="expression" priority="63" aboveAverage="0" equalAverage="0" bottom="0" percent="0" rank="0" text="" dxfId="2">
      <formula>ISNUMBER(SEARCH("KEEP",H2))</formula>
    </cfRule>
    <cfRule type="expression" priority="64" aboveAverage="0" equalAverage="0" bottom="0" percent="0" rank="0" text="" dxfId="2">
      <formula>ISNUMBER(SEARCH("DEV-READY",H2))</formula>
    </cfRule>
    <cfRule type="expression" priority="65" aboveAverage="0" equalAverage="0" bottom="0" percent="0" rank="0" text="" dxfId="2">
      <formula>ISNUMBER(SEARCH("GREW",H2))</formula>
    </cfRule>
    <cfRule type="expression" priority="66" aboveAverage="0" equalAverage="0" bottom="0" percent="0" rank="0" text="" dxfId="2">
      <formula>ISNUMBER(SEARCH("HIT",H2))</formula>
    </cfRule>
    <cfRule type="expression" priority="67" aboveAverage="0" equalAverage="0" bottom="0" percent="0" rank="0" text="" dxfId="2">
      <formula>ISNUMBER(SEARCH("CORRECT",H2))</formula>
    </cfRule>
    <cfRule type="expression" priority="68" aboveAverage="0" equalAverage="0" bottom="0" percent="0" rank="0" text="" dxfId="2">
      <formula>ISNUMBER(SEARCH("STAY",H2))</formula>
    </cfRule>
  </conditionalFormatting>
  <conditionalFormatting sqref="D6:D10">
    <cfRule type="expression" priority="69" aboveAverage="0" equalAverage="0" bottom="0" percent="0" rank="0" text="" dxfId="0">
      <formula>ISNUMBER(SEARCH("NO-GO",D6))</formula>
    </cfRule>
    <cfRule type="expression" priority="70" aboveAverage="0" equalAverage="0" bottom="0" percent="0" rank="0" text="" dxfId="0">
      <formula>ISNUMBER(SEARCH("HOLD",D6))</formula>
    </cfRule>
    <cfRule type="expression" priority="71" aboveAverage="0" equalAverage="0" bottom="0" percent="0" rank="0" text="" dxfId="0">
      <formula>ISNUMBER(SEARCH("KILL",D6))</formula>
    </cfRule>
    <cfRule type="expression" priority="72" aboveAverage="0" equalAverage="0" bottom="0" percent="0" rank="0" text="" dxfId="0">
      <formula>ISNUMBER(SEARCH("BLOCKED",D6))</formula>
    </cfRule>
    <cfRule type="expression" priority="73" aboveAverage="0" equalAverage="0" bottom="0" percent="0" rank="0" text="" dxfId="0">
      <formula>ISNUMBER(SEARCH("INVALID",D6))</formula>
    </cfRule>
    <cfRule type="expression" priority="74" aboveAverage="0" equalAverage="0" bottom="0" percent="0" rank="0" text="" dxfId="0">
      <formula>ISNUMBER(SEARCH("VIOLATION",D6))</formula>
    </cfRule>
    <cfRule type="expression" priority="75" aboveAverage="0" equalAverage="0" bottom="0" percent="0" rank="0" text="" dxfId="0">
      <formula>ISNUMBER(SEARCH("UNDER-SLACKED",D6))</formula>
    </cfRule>
    <cfRule type="expression" priority="76" aboveAverage="0" equalAverage="0" bottom="0" percent="0" rank="0" text="" dxfId="0">
      <formula>ISNUMBER(SEARCH("NOT YET",D6))</formula>
    </cfRule>
    <cfRule type="expression" priority="77" aboveAverage="0" equalAverage="0" bottom="0" percent="0" rank="0" text="" dxfId="0">
      <formula>ISNUMBER(SEARCH("HALF",D6))</formula>
    </cfRule>
    <cfRule type="expression" priority="78" aboveAverage="0" equalAverage="0" bottom="0" percent="0" rank="0" text="" dxfId="0">
      <formula>ISNUMBER(SEARCH("INCOMPLETE",D6))</formula>
    </cfRule>
    <cfRule type="expression" priority="79" aboveAverage="0" equalAverage="0" bottom="0" percent="0" rank="0" text="" dxfId="0">
      <formula>ISNUMBER(SEARCH("ALERT",D6))</formula>
    </cfRule>
    <cfRule type="expression" priority="80" aboveAverage="0" equalAverage="0" bottom="0" percent="0" rank="0" text="" dxfId="0">
      <formula>ISNUMBER(SEARCH("BELOW",D6))</formula>
    </cfRule>
    <cfRule type="expression" priority="81" aboveAverage="0" equalAverage="0" bottom="0" percent="0" rank="0" text="" dxfId="0">
      <formula>ISNUMBER(SEARCH("FAIL",D6))</formula>
    </cfRule>
    <cfRule type="expression" priority="82" aboveAverage="0" equalAverage="0" bottom="0" percent="0" rank="0" text="" dxfId="0">
      <formula>ISNUMBER(SEARCH("STAGNANT",D6))</formula>
    </cfRule>
    <cfRule type="expression" priority="83" aboveAverage="0" equalAverage="0" bottom="0" percent="0" rank="0" text="" dxfId="0">
      <formula>ISNUMBER(SEARCH("MISSING",D6))</formula>
    </cfRule>
    <cfRule type="expression" priority="84" aboveAverage="0" equalAverage="0" bottom="0" percent="0" rank="0" text="" dxfId="0">
      <formula>ISNUMBER(SEARCH("PLANTED",D6))</formula>
    </cfRule>
    <cfRule type="expression" priority="85" aboveAverage="0" equalAverage="0" bottom="0" percent="0" rank="0" text="" dxfId="0">
      <formula>ISNUMBER(SEARCH("WRITE WITHOUT",D6))</formula>
    </cfRule>
    <cfRule type="expression" priority="86" aboveAverage="0" equalAverage="0" bottom="0" percent="0" rank="0" text="" dxfId="0">
      <formula>ISNUMBER(SEARCH("CHALLENGE",D6))</formula>
    </cfRule>
    <cfRule type="expression" priority="87" aboveAverage="0" equalAverage="0" bottom="0" percent="0" rank="0" text="" dxfId="0">
      <formula>ISNUMBER(SEARCH("NOT STARTED",D6))</formula>
    </cfRule>
    <cfRule type="expression" priority="88" aboveAverage="0" equalAverage="0" bottom="0" percent="0" rank="0" text="" dxfId="0">
      <formula>ISNUMBER(SEARCH("DISCUSS",D6))</formula>
    </cfRule>
    <cfRule type="expression" priority="89" aboveAverage="0" equalAverage="0" bottom="0" percent="0" rank="0" text="" dxfId="0">
      <formula>ISNUMBER(SEARCH("UNSIGNED",D6))</formula>
    </cfRule>
    <cfRule type="expression" priority="90" aboveAverage="0" equalAverage="0" bottom="0" percent="0" rank="0" text="" dxfId="0">
      <formula>ISNUMBER(SEARCH("FALSE ALARM",D6))</formula>
    </cfRule>
    <cfRule type="expression" priority="91" aboveAverage="0" equalAverage="0" bottom="0" percent="0" rank="0" text="" dxfId="0">
      <formula>ISNUMBER(SEARCH("MISSED",D6))</formula>
    </cfRule>
    <cfRule type="expression" priority="92" aboveAverage="0" equalAverage="0" bottom="0" percent="0" rank="0" text="" dxfId="0">
      <formula>ISNUMBER(SEARCH("COSTUME",D6))</formula>
    </cfRule>
    <cfRule type="expression" priority="93" aboveAverage="0" equalAverage="0" bottom="0" percent="0" rank="0" text="" dxfId="0">
      <formula>ISNUMBER(SEARCH("PROMISE WITHOUT",D6))</formula>
    </cfRule>
    <cfRule type="expression" priority="94" aboveAverage="0" equalAverage="0" bottom="0" percent="0" rank="0" text="" dxfId="1">
      <formula>ISNUMBER(SEARCH("BORDERLINE",D6))</formula>
    </cfRule>
    <cfRule type="expression" priority="95" aboveAverage="0" equalAverage="0" bottom="0" percent="0" rank="0" text="" dxfId="1">
      <formula>ISNUMBER(SEARCH("WORKFLOW",D6))</formula>
    </cfRule>
    <cfRule type="expression" priority="96" aboveAverage="0" equalAverage="0" bottom="0" percent="0" rank="0" text="" dxfId="1">
      <formula>ISNUMBER(SEARCH("PENDING",D6))</formula>
    </cfRule>
    <cfRule type="expression" priority="97" aboveAverage="0" equalAverage="0" bottom="0" percent="0" rank="0" text="" dxfId="1">
      <formula>ISNUMBER(SEARCH("ADVISORY",D6))</formula>
    </cfRule>
    <cfRule type="expression" priority="98" aboveAverage="0" equalAverage="0" bottom="0" percent="0" rank="0" text="" dxfId="1">
      <formula>ISNUMBER(SEARCH("ABOVE",D6))</formula>
    </cfRule>
    <cfRule type="expression" priority="99" aboveAverage="0" equalAverage="0" bottom="0" percent="0" rank="0" text="" dxfId="1">
      <formula>ISNUMBER(SEARCH("TUNE",D6))</formula>
    </cfRule>
    <cfRule type="expression" priority="100" aboveAverage="0" equalAverage="0" bottom="0" percent="0" rank="0" text="" dxfId="1">
      <formula>ISNUMBER(SEARCH("REVIEW",D6))</formula>
    </cfRule>
    <cfRule type="expression" priority="101" aboveAverage="0" equalAverage="0" bottom="0" percent="0" rank="0" text="" dxfId="1">
      <formula>ISNUMBER(SEARCH("DECIDE",D6))</formula>
    </cfRule>
    <cfRule type="expression" priority="102" aboveAverage="0" equalAverage="0" bottom="0" percent="0" rank="0" text="" dxfId="1">
      <formula>ISNUMBER(SEARCH("IN PROGRESS",D6))</formula>
    </cfRule>
    <cfRule type="expression" priority="103" aboveAverage="0" equalAverage="0" bottom="0" percent="0" rank="0" text="" dxfId="1">
      <formula>ISNUMBER(SEARCH("PARTIAL",D6))</formula>
    </cfRule>
    <cfRule type="expression" priority="104" aboveAverage="0" equalAverage="0" bottom="0" percent="0" rank="0" text="" dxfId="1">
      <formula>ISNUMBER(SEARCH("NO DATA",D6))</formula>
    </cfRule>
    <cfRule type="expression" priority="105" aboveAverage="0" equalAverage="0" bottom="0" percent="0" rank="0" text="" dxfId="1">
      <formula>ISNUMBER(SEARCH("NOT RUN",D6))</formula>
    </cfRule>
    <cfRule type="expression" priority="106" aboveAverage="0" equalAverage="0" bottom="0" percent="0" rank="0" text="" dxfId="1">
      <formula>ISNUMBER(SEARCH("EVALUATE",D6))</formula>
    </cfRule>
    <cfRule type="expression" priority="107" aboveAverage="0" equalAverage="0" bottom="0" percent="0" rank="0" text="" dxfId="1">
      <formula>ISNUMBER(SEARCH("TIGHTEN",D6))</formula>
    </cfRule>
    <cfRule type="expression" priority="108" aboveAverage="0" equalAverage="0" bottom="0" percent="0" rank="0" text="" dxfId="1">
      <formula>ISNUMBER(SEARCH("LOOSEN",D6))</formula>
    </cfRule>
    <cfRule type="expression" priority="109" aboveAverage="0" equalAverage="0" bottom="0" percent="0" rank="0" text="" dxfId="1">
      <formula>ISNUMBER(SEARCH("WEAK",D6))</formula>
    </cfRule>
    <cfRule type="expression" priority="110" aboveAverage="0" equalAverage="0" bottom="0" percent="0" rank="0" text="" dxfId="1">
      <formula>ISNUMBER(SEARCH("ADJACENT",D6))</formula>
    </cfRule>
    <cfRule type="expression" priority="111" aboveAverage="0" equalAverage="0" bottom="0" percent="0" rank="0" text="" dxfId="1">
      <formula>ISNUMBER(SEARCH("GAPS",D6))</formula>
    </cfRule>
    <cfRule type="expression" priority="112" aboveAverage="0" equalAverage="0" bottom="0" percent="0" rank="0" text="" dxfId="1">
      <formula>ISNUMBER(SEARCH("ADD ONE",D6))</formula>
    </cfRule>
    <cfRule type="expression" priority="113" aboveAverage="0" equalAverage="0" bottom="0" percent="0" rank="0" text="" dxfId="1">
      <formula>ISNUMBER(SEARCH("⚠",D6))</formula>
    </cfRule>
    <cfRule type="expression" priority="114" aboveAverage="0" equalAverage="0" bottom="0" percent="0" rank="0" text="" dxfId="2">
      <formula>ISNUMBER(SEARCH("PASS",D6))</formula>
    </cfRule>
    <cfRule type="expression" priority="115" aboveAverage="0" equalAverage="0" bottom="0" percent="0" rank="0" text="" dxfId="2">
      <formula>ISNUMBER(SEARCH("GO",D6))</formula>
    </cfRule>
    <cfRule type="expression" priority="116" aboveAverage="0" equalAverage="0" bottom="0" percent="0" rank="0" text="" dxfId="2">
      <formula>ISNUMBER(SEARCH("BUILD",D6))</formula>
    </cfRule>
    <cfRule type="expression" priority="117" aboveAverage="0" equalAverage="0" bottom="0" percent="0" rank="0" text="" dxfId="2">
      <formula>ISNUMBER(SEARCH("COMPLETE",D6))</formula>
    </cfRule>
    <cfRule type="expression" priority="118" aboveAverage="0" equalAverage="0" bottom="0" percent="0" rank="0" text="" dxfId="2">
      <formula>ISNUMBER(SEARCH("ELIGIBLE",D6))</formula>
    </cfRule>
    <cfRule type="expression" priority="119" aboveAverage="0" equalAverage="0" bottom="0" percent="0" rank="0" text="" dxfId="2">
      <formula>ISNUMBER(SEARCH("SHIP",D6))</formula>
    </cfRule>
    <cfRule type="expression" priority="120" aboveAverage="0" equalAverage="0" bottom="0" percent="0" rank="0" text="" dxfId="2">
      <formula>ISNUMBER(SEARCH("ON TARGET",D6))</formula>
    </cfRule>
    <cfRule type="expression" priority="121" aboveAverage="0" equalAverage="0" bottom="0" percent="0" rank="0" text="" dxfId="2">
      <formula>ISNUMBER(SEARCH("ON TRACK",D6))</formula>
    </cfRule>
    <cfRule type="expression" priority="122" aboveAverage="0" equalAverage="0" bottom="0" percent="0" rank="0" text="" dxfId="2">
      <formula>ISNUMBER(SEARCH("RESOLVED",D6))</formula>
    </cfRule>
    <cfRule type="expression" priority="123" aboveAverage="0" equalAverage="0" bottom="0" percent="0" rank="0" text="" dxfId="2">
      <formula>ISNUMBER(SEARCH("OK",D6))</formula>
    </cfRule>
    <cfRule type="expression" priority="124" aboveAverage="0" equalAverage="0" bottom="0" percent="0" rank="0" text="" dxfId="2">
      <formula>ISNUMBER(SEARCH("MATCH",D6))</formula>
    </cfRule>
    <cfRule type="expression" priority="125" aboveAverage="0" equalAverage="0" bottom="0" percent="0" rank="0" text="" dxfId="2">
      <formula>ISNUMBER(SEARCH("SOUND",D6))</formula>
    </cfRule>
    <cfRule type="expression" priority="126" aboveAverage="0" equalAverage="0" bottom="0" percent="0" rank="0" text="" dxfId="2">
      <formula>ISNUMBER(SEARCH("WITHIN",D6))</formula>
    </cfRule>
    <cfRule type="expression" priority="127" aboveAverage="0" equalAverage="0" bottom="0" percent="0" rank="0" text="" dxfId="2">
      <formula>ISNUMBER(SEARCH("DONE",D6))</formula>
    </cfRule>
    <cfRule type="expression" priority="128" aboveAverage="0" equalAverage="0" bottom="0" percent="0" rank="0" text="" dxfId="2">
      <formula>ISNUMBER(SEARCH("SIGNED",D6))</formula>
    </cfRule>
    <cfRule type="expression" priority="129" aboveAverage="0" equalAverage="0" bottom="0" percent="0" rank="0" text="" dxfId="2">
      <formula>ISNUMBER(SEARCH("✓",D6))</formula>
    </cfRule>
    <cfRule type="expression" priority="130" aboveAverage="0" equalAverage="0" bottom="0" percent="0" rank="0" text="" dxfId="2">
      <formula>ISNUMBER(SEARCH("KEEP",D6))</formula>
    </cfRule>
    <cfRule type="expression" priority="131" aboveAverage="0" equalAverage="0" bottom="0" percent="0" rank="0" text="" dxfId="2">
      <formula>ISNUMBER(SEARCH("DEV-READY",D6))</formula>
    </cfRule>
    <cfRule type="expression" priority="132" aboveAverage="0" equalAverage="0" bottom="0" percent="0" rank="0" text="" dxfId="2">
      <formula>ISNUMBER(SEARCH("GREW",D6))</formula>
    </cfRule>
    <cfRule type="expression" priority="133" aboveAverage="0" equalAverage="0" bottom="0" percent="0" rank="0" text="" dxfId="2">
      <formula>ISNUMBER(SEARCH("HIT",D6))</formula>
    </cfRule>
    <cfRule type="expression" priority="134" aboveAverage="0" equalAverage="0" bottom="0" percent="0" rank="0" text="" dxfId="2">
      <formula>ISNUMBER(SEARCH("CORRECT",D6))</formula>
    </cfRule>
    <cfRule type="expression" priority="135" aboveAverage="0" equalAverage="0" bottom="0" percent="0" rank="0" text="" dxfId="2">
      <formula>ISNUMBER(SEARCH("STAY",D6))</formula>
    </cfRule>
  </conditionalFormatting>
  <conditionalFormatting sqref="F14:F18">
    <cfRule type="expression" priority="136" aboveAverage="0" equalAverage="0" bottom="0" percent="0" rank="0" text="" dxfId="0">
      <formula>ISNUMBER(SEARCH("NO-GO",F14))</formula>
    </cfRule>
    <cfRule type="expression" priority="137" aboveAverage="0" equalAverage="0" bottom="0" percent="0" rank="0" text="" dxfId="0">
      <formula>ISNUMBER(SEARCH("HOLD",F14))</formula>
    </cfRule>
    <cfRule type="expression" priority="138" aboveAverage="0" equalAverage="0" bottom="0" percent="0" rank="0" text="" dxfId="0">
      <formula>ISNUMBER(SEARCH("KILL",F14))</formula>
    </cfRule>
    <cfRule type="expression" priority="139" aboveAverage="0" equalAverage="0" bottom="0" percent="0" rank="0" text="" dxfId="0">
      <formula>ISNUMBER(SEARCH("BLOCKED",F14))</formula>
    </cfRule>
    <cfRule type="expression" priority="140" aboveAverage="0" equalAverage="0" bottom="0" percent="0" rank="0" text="" dxfId="0">
      <formula>ISNUMBER(SEARCH("INVALID",F14))</formula>
    </cfRule>
    <cfRule type="expression" priority="141" aboveAverage="0" equalAverage="0" bottom="0" percent="0" rank="0" text="" dxfId="0">
      <formula>ISNUMBER(SEARCH("VIOLATION",F14))</formula>
    </cfRule>
    <cfRule type="expression" priority="142" aboveAverage="0" equalAverage="0" bottom="0" percent="0" rank="0" text="" dxfId="0">
      <formula>ISNUMBER(SEARCH("UNDER-SLACKED",F14))</formula>
    </cfRule>
    <cfRule type="expression" priority="143" aboveAverage="0" equalAverage="0" bottom="0" percent="0" rank="0" text="" dxfId="0">
      <formula>ISNUMBER(SEARCH("NOT YET",F14))</formula>
    </cfRule>
    <cfRule type="expression" priority="144" aboveAverage="0" equalAverage="0" bottom="0" percent="0" rank="0" text="" dxfId="0">
      <formula>ISNUMBER(SEARCH("HALF",F14))</formula>
    </cfRule>
    <cfRule type="expression" priority="145" aboveAverage="0" equalAverage="0" bottom="0" percent="0" rank="0" text="" dxfId="0">
      <formula>ISNUMBER(SEARCH("INCOMPLETE",F14))</formula>
    </cfRule>
    <cfRule type="expression" priority="146" aboveAverage="0" equalAverage="0" bottom="0" percent="0" rank="0" text="" dxfId="0">
      <formula>ISNUMBER(SEARCH("ALERT",F14))</formula>
    </cfRule>
    <cfRule type="expression" priority="147" aboveAverage="0" equalAverage="0" bottom="0" percent="0" rank="0" text="" dxfId="0">
      <formula>ISNUMBER(SEARCH("BELOW",F14))</formula>
    </cfRule>
    <cfRule type="expression" priority="148" aboveAverage="0" equalAverage="0" bottom="0" percent="0" rank="0" text="" dxfId="0">
      <formula>ISNUMBER(SEARCH("FAIL",F14))</formula>
    </cfRule>
    <cfRule type="expression" priority="149" aboveAverage="0" equalAverage="0" bottom="0" percent="0" rank="0" text="" dxfId="0">
      <formula>ISNUMBER(SEARCH("STAGNANT",F14))</formula>
    </cfRule>
    <cfRule type="expression" priority="150" aboveAverage="0" equalAverage="0" bottom="0" percent="0" rank="0" text="" dxfId="0">
      <formula>ISNUMBER(SEARCH("MISSING",F14))</formula>
    </cfRule>
    <cfRule type="expression" priority="151" aboveAverage="0" equalAverage="0" bottom="0" percent="0" rank="0" text="" dxfId="0">
      <formula>ISNUMBER(SEARCH("PLANTED",F14))</formula>
    </cfRule>
    <cfRule type="expression" priority="152" aboveAverage="0" equalAverage="0" bottom="0" percent="0" rank="0" text="" dxfId="0">
      <formula>ISNUMBER(SEARCH("WRITE WITHOUT",F14))</formula>
    </cfRule>
    <cfRule type="expression" priority="153" aboveAverage="0" equalAverage="0" bottom="0" percent="0" rank="0" text="" dxfId="0">
      <formula>ISNUMBER(SEARCH("CHALLENGE",F14))</formula>
    </cfRule>
    <cfRule type="expression" priority="154" aboveAverage="0" equalAverage="0" bottom="0" percent="0" rank="0" text="" dxfId="0">
      <formula>ISNUMBER(SEARCH("NOT STARTED",F14))</formula>
    </cfRule>
    <cfRule type="expression" priority="155" aboveAverage="0" equalAverage="0" bottom="0" percent="0" rank="0" text="" dxfId="0">
      <formula>ISNUMBER(SEARCH("DISCUSS",F14))</formula>
    </cfRule>
    <cfRule type="expression" priority="156" aboveAverage="0" equalAverage="0" bottom="0" percent="0" rank="0" text="" dxfId="0">
      <formula>ISNUMBER(SEARCH("UNSIGNED",F14))</formula>
    </cfRule>
    <cfRule type="expression" priority="157" aboveAverage="0" equalAverage="0" bottom="0" percent="0" rank="0" text="" dxfId="0">
      <formula>ISNUMBER(SEARCH("FALSE ALARM",F14))</formula>
    </cfRule>
    <cfRule type="expression" priority="158" aboveAverage="0" equalAverage="0" bottom="0" percent="0" rank="0" text="" dxfId="0">
      <formula>ISNUMBER(SEARCH("MISSED",F14))</formula>
    </cfRule>
    <cfRule type="expression" priority="159" aboveAverage="0" equalAverage="0" bottom="0" percent="0" rank="0" text="" dxfId="0">
      <formula>ISNUMBER(SEARCH("COSTUME",F14))</formula>
    </cfRule>
    <cfRule type="expression" priority="160" aboveAverage="0" equalAverage="0" bottom="0" percent="0" rank="0" text="" dxfId="0">
      <formula>ISNUMBER(SEARCH("PROMISE WITHOUT",F14))</formula>
    </cfRule>
    <cfRule type="expression" priority="161" aboveAverage="0" equalAverage="0" bottom="0" percent="0" rank="0" text="" dxfId="1">
      <formula>ISNUMBER(SEARCH("BORDERLINE",F14))</formula>
    </cfRule>
    <cfRule type="expression" priority="162" aboveAverage="0" equalAverage="0" bottom="0" percent="0" rank="0" text="" dxfId="1">
      <formula>ISNUMBER(SEARCH("WORKFLOW",F14))</formula>
    </cfRule>
    <cfRule type="expression" priority="163" aboveAverage="0" equalAverage="0" bottom="0" percent="0" rank="0" text="" dxfId="1">
      <formula>ISNUMBER(SEARCH("PENDING",F14))</formula>
    </cfRule>
    <cfRule type="expression" priority="164" aboveAverage="0" equalAverage="0" bottom="0" percent="0" rank="0" text="" dxfId="1">
      <formula>ISNUMBER(SEARCH("ADVISORY",F14))</formula>
    </cfRule>
    <cfRule type="expression" priority="165" aboveAverage="0" equalAverage="0" bottom="0" percent="0" rank="0" text="" dxfId="1">
      <formula>ISNUMBER(SEARCH("ABOVE",F14))</formula>
    </cfRule>
    <cfRule type="expression" priority="166" aboveAverage="0" equalAverage="0" bottom="0" percent="0" rank="0" text="" dxfId="1">
      <formula>ISNUMBER(SEARCH("TUNE",F14))</formula>
    </cfRule>
    <cfRule type="expression" priority="167" aboveAverage="0" equalAverage="0" bottom="0" percent="0" rank="0" text="" dxfId="1">
      <formula>ISNUMBER(SEARCH("REVIEW",F14))</formula>
    </cfRule>
    <cfRule type="expression" priority="168" aboveAverage="0" equalAverage="0" bottom="0" percent="0" rank="0" text="" dxfId="1">
      <formula>ISNUMBER(SEARCH("DECIDE",F14))</formula>
    </cfRule>
    <cfRule type="expression" priority="169" aboveAverage="0" equalAverage="0" bottom="0" percent="0" rank="0" text="" dxfId="1">
      <formula>ISNUMBER(SEARCH("IN PROGRESS",F14))</formula>
    </cfRule>
    <cfRule type="expression" priority="170" aboveAverage="0" equalAverage="0" bottom="0" percent="0" rank="0" text="" dxfId="1">
      <formula>ISNUMBER(SEARCH("PARTIAL",F14))</formula>
    </cfRule>
    <cfRule type="expression" priority="171" aboveAverage="0" equalAverage="0" bottom="0" percent="0" rank="0" text="" dxfId="1">
      <formula>ISNUMBER(SEARCH("NO DATA",F14))</formula>
    </cfRule>
    <cfRule type="expression" priority="172" aboveAverage="0" equalAverage="0" bottom="0" percent="0" rank="0" text="" dxfId="1">
      <formula>ISNUMBER(SEARCH("NOT RUN",F14))</formula>
    </cfRule>
    <cfRule type="expression" priority="173" aboveAverage="0" equalAverage="0" bottom="0" percent="0" rank="0" text="" dxfId="1">
      <formula>ISNUMBER(SEARCH("EVALUATE",F14))</formula>
    </cfRule>
    <cfRule type="expression" priority="174" aboveAverage="0" equalAverage="0" bottom="0" percent="0" rank="0" text="" dxfId="1">
      <formula>ISNUMBER(SEARCH("TIGHTEN",F14))</formula>
    </cfRule>
    <cfRule type="expression" priority="175" aboveAverage="0" equalAverage="0" bottom="0" percent="0" rank="0" text="" dxfId="1">
      <formula>ISNUMBER(SEARCH("LOOSEN",F14))</formula>
    </cfRule>
    <cfRule type="expression" priority="176" aboveAverage="0" equalAverage="0" bottom="0" percent="0" rank="0" text="" dxfId="1">
      <formula>ISNUMBER(SEARCH("WEAK",F14))</formula>
    </cfRule>
    <cfRule type="expression" priority="177" aboveAverage="0" equalAverage="0" bottom="0" percent="0" rank="0" text="" dxfId="1">
      <formula>ISNUMBER(SEARCH("ADJACENT",F14))</formula>
    </cfRule>
    <cfRule type="expression" priority="178" aboveAverage="0" equalAverage="0" bottom="0" percent="0" rank="0" text="" dxfId="1">
      <formula>ISNUMBER(SEARCH("GAPS",F14))</formula>
    </cfRule>
    <cfRule type="expression" priority="179" aboveAverage="0" equalAverage="0" bottom="0" percent="0" rank="0" text="" dxfId="1">
      <formula>ISNUMBER(SEARCH("ADD ONE",F14))</formula>
    </cfRule>
    <cfRule type="expression" priority="180" aboveAverage="0" equalAverage="0" bottom="0" percent="0" rank="0" text="" dxfId="1">
      <formula>ISNUMBER(SEARCH("⚠",F14))</formula>
    </cfRule>
    <cfRule type="expression" priority="181" aboveAverage="0" equalAverage="0" bottom="0" percent="0" rank="0" text="" dxfId="2">
      <formula>ISNUMBER(SEARCH("PASS",F14))</formula>
    </cfRule>
    <cfRule type="expression" priority="182" aboveAverage="0" equalAverage="0" bottom="0" percent="0" rank="0" text="" dxfId="2">
      <formula>ISNUMBER(SEARCH("GO",F14))</formula>
    </cfRule>
    <cfRule type="expression" priority="183" aboveAverage="0" equalAverage="0" bottom="0" percent="0" rank="0" text="" dxfId="2">
      <formula>ISNUMBER(SEARCH("BUILD",F14))</formula>
    </cfRule>
    <cfRule type="expression" priority="184" aboveAverage="0" equalAverage="0" bottom="0" percent="0" rank="0" text="" dxfId="2">
      <formula>ISNUMBER(SEARCH("COMPLETE",F14))</formula>
    </cfRule>
    <cfRule type="expression" priority="185" aboveAverage="0" equalAverage="0" bottom="0" percent="0" rank="0" text="" dxfId="2">
      <formula>ISNUMBER(SEARCH("ELIGIBLE",F14))</formula>
    </cfRule>
    <cfRule type="expression" priority="186" aboveAverage="0" equalAverage="0" bottom="0" percent="0" rank="0" text="" dxfId="2">
      <formula>ISNUMBER(SEARCH("SHIP",F14))</formula>
    </cfRule>
    <cfRule type="expression" priority="187" aboveAverage="0" equalAverage="0" bottom="0" percent="0" rank="0" text="" dxfId="2">
      <formula>ISNUMBER(SEARCH("ON TARGET",F14))</formula>
    </cfRule>
    <cfRule type="expression" priority="188" aboveAverage="0" equalAverage="0" bottom="0" percent="0" rank="0" text="" dxfId="2">
      <formula>ISNUMBER(SEARCH("ON TRACK",F14))</formula>
    </cfRule>
    <cfRule type="expression" priority="189" aboveAverage="0" equalAverage="0" bottom="0" percent="0" rank="0" text="" dxfId="2">
      <formula>ISNUMBER(SEARCH("RESOLVED",F14))</formula>
    </cfRule>
    <cfRule type="expression" priority="190" aboveAverage="0" equalAverage="0" bottom="0" percent="0" rank="0" text="" dxfId="2">
      <formula>ISNUMBER(SEARCH("OK",F14))</formula>
    </cfRule>
    <cfRule type="expression" priority="191" aboveAverage="0" equalAverage="0" bottom="0" percent="0" rank="0" text="" dxfId="2">
      <formula>ISNUMBER(SEARCH("MATCH",F14))</formula>
    </cfRule>
    <cfRule type="expression" priority="192" aboveAverage="0" equalAverage="0" bottom="0" percent="0" rank="0" text="" dxfId="2">
      <formula>ISNUMBER(SEARCH("SOUND",F14))</formula>
    </cfRule>
    <cfRule type="expression" priority="193" aboveAverage="0" equalAverage="0" bottom="0" percent="0" rank="0" text="" dxfId="2">
      <formula>ISNUMBER(SEARCH("WITHIN",F14))</formula>
    </cfRule>
    <cfRule type="expression" priority="194" aboveAverage="0" equalAverage="0" bottom="0" percent="0" rank="0" text="" dxfId="2">
      <formula>ISNUMBER(SEARCH("DONE",F14))</formula>
    </cfRule>
    <cfRule type="expression" priority="195" aboveAverage="0" equalAverage="0" bottom="0" percent="0" rank="0" text="" dxfId="2">
      <formula>ISNUMBER(SEARCH("SIGNED",F14))</formula>
    </cfRule>
    <cfRule type="expression" priority="196" aboveAverage="0" equalAverage="0" bottom="0" percent="0" rank="0" text="" dxfId="2">
      <formula>ISNUMBER(SEARCH("✓",F14))</formula>
    </cfRule>
    <cfRule type="expression" priority="197" aboveAverage="0" equalAverage="0" bottom="0" percent="0" rank="0" text="" dxfId="2">
      <formula>ISNUMBER(SEARCH("KEEP",F14))</formula>
    </cfRule>
    <cfRule type="expression" priority="198" aboveAverage="0" equalAverage="0" bottom="0" percent="0" rank="0" text="" dxfId="2">
      <formula>ISNUMBER(SEARCH("DEV-READY",F14))</formula>
    </cfRule>
    <cfRule type="expression" priority="199" aboveAverage="0" equalAverage="0" bottom="0" percent="0" rank="0" text="" dxfId="2">
      <formula>ISNUMBER(SEARCH("GREW",F14))</formula>
    </cfRule>
    <cfRule type="expression" priority="200" aboveAverage="0" equalAverage="0" bottom="0" percent="0" rank="0" text="" dxfId="2">
      <formula>ISNUMBER(SEARCH("HIT",F14))</formula>
    </cfRule>
    <cfRule type="expression" priority="201" aboveAverage="0" equalAverage="0" bottom="0" percent="0" rank="0" text="" dxfId="2">
      <formula>ISNUMBER(SEARCH("CORRECT",F14))</formula>
    </cfRule>
    <cfRule type="expression" priority="202" aboveAverage="0" equalAverage="0" bottom="0" percent="0" rank="0" text="" dxfId="2">
      <formula>ISNUMBER(SEARCH("STAY",F14))</formula>
    </cfRule>
  </conditionalFormatting>
  <dataValidations count="2">
    <dataValidation allowBlank="true" errorStyle="stop" operator="between" showDropDown="false" showErrorMessage="false" showInputMessage="false" sqref="D6:D10" type="list">
      <formula1>"YES,NO"</formula1>
      <formula2>0</formula2>
    </dataValidation>
    <dataValidation allowBlank="true" errorStyle="stop" operator="between" showDropDown="false" showErrorMessage="false" showInputMessage="false" sqref="D14:D18" type="list">
      <formula1>"Fail closed — BLOCK,Fail open — PROCEED,Undefined"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F4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9"/>
    <col collapsed="false" customWidth="true" hidden="false" outlineLevel="0" max="3" min="3" style="1" width="46"/>
    <col collapsed="false" customWidth="true" hidden="false" outlineLevel="0" max="4" min="4" style="1" width="24"/>
    <col collapsed="false" customWidth="true" hidden="false" outlineLevel="0" max="5" min="5" style="1" width="22"/>
    <col collapsed="false" customWidth="true" hidden="false" outlineLevel="0" max="6" min="6" style="1" width="10"/>
    <col collapsed="false" customWidth="true" hidden="false" outlineLevel="0" max="8" min="7" style="1" width="13"/>
    <col collapsed="false" customWidth="true" hidden="false" outlineLevel="0" max="9" min="9" style="1" width="9"/>
    <col collapsed="false" customWidth="true" hidden="false" outlineLevel="0" max="11" min="10" style="1" width="11"/>
    <col collapsed="false" customWidth="true" hidden="false" outlineLevel="0" max="12" min="12" style="1" width="30"/>
  </cols>
  <sheetData>
    <row r="1" customFormat="false" ht="18" hidden="false" customHeight="true" outlineLevel="0" collapsed="false">
      <c r="A1" s="7" t="s">
        <v>210</v>
      </c>
    </row>
    <row r="2" customFormat="false" ht="79.5" hidden="false" customHeight="true" outlineLevel="0" collapsed="false">
      <c r="A2" s="8" t="s">
        <v>211</v>
      </c>
      <c r="G2" s="15" t="s">
        <v>51</v>
      </c>
      <c r="H2" s="13" t="str">
        <f aca="false">IF(AND(COUNTIF(L6:L12,"UNDER-SLACKED*")=0,COUNTIF(D17:D19,"YES")=3),"PASS","HOLD")</f>
        <v>HOLD</v>
      </c>
      <c r="I2" s="14" t="str">
        <f aca="false">COUNTIF(L6:L12,"UNDER-SLACKED*")&amp;" blocking decision(s) under-slacked · "&amp;COUNTIF(D17:D19,"YES")&amp;"/3 fallbacks designed"</f>
        <v>3 blocking decision(s) under-slacked · 0/3 fallbacks designed</v>
      </c>
    </row>
    <row r="4" customFormat="false" ht="15" hidden="false" customHeight="true" outlineLevel="0" collapsed="false">
      <c r="B4" s="4" t="s">
        <v>212</v>
      </c>
    </row>
    <row r="5" customFormat="false" ht="15" hidden="false" customHeight="true" outlineLevel="0" collapsed="false">
      <c r="B5" s="11" t="s">
        <v>213</v>
      </c>
      <c r="C5" s="11" t="s">
        <v>214</v>
      </c>
      <c r="D5" s="11" t="s">
        <v>215</v>
      </c>
      <c r="E5" s="11" t="s">
        <v>216</v>
      </c>
      <c r="F5" s="11" t="s">
        <v>217</v>
      </c>
      <c r="G5" s="11" t="s">
        <v>218</v>
      </c>
      <c r="H5" s="11" t="s">
        <v>219</v>
      </c>
      <c r="I5" s="11" t="s">
        <v>220</v>
      </c>
      <c r="J5" s="11" t="s">
        <v>221</v>
      </c>
      <c r="K5" s="11" t="s">
        <v>123</v>
      </c>
      <c r="L5" s="11" t="s">
        <v>222</v>
      </c>
    </row>
    <row r="6" customFormat="false" ht="25.5" hidden="false" customHeight="true" outlineLevel="0" collapsed="false">
      <c r="B6" s="12" t="s">
        <v>223</v>
      </c>
      <c r="C6" s="10" t="s">
        <v>224</v>
      </c>
      <c r="D6" s="10" t="s">
        <v>225</v>
      </c>
      <c r="E6" s="10" t="s">
        <v>226</v>
      </c>
      <c r="F6" s="10" t="n">
        <v>3</v>
      </c>
      <c r="G6" s="10" t="s">
        <v>227</v>
      </c>
      <c r="H6" s="14" t="n">
        <f aca="false">VLOOKUP(G6,$G$22:$H$26,2,0)</f>
        <v>4</v>
      </c>
      <c r="I6" s="13" t="n">
        <f aca="false">H6-F6</f>
        <v>1</v>
      </c>
      <c r="J6" s="10" t="s">
        <v>79</v>
      </c>
      <c r="K6" s="10" t="s">
        <v>228</v>
      </c>
      <c r="L6" s="13" t="str">
        <f aca="false">IF(K6="Resolved","RESOLVED",IF(J6="NO","ADVISORY — TRACK",IF(I6&lt;=2,"UNDER-SLACKED — ESCALATE","ON TRACK")))</f>
        <v>UNDER-SLACKED — ESCALATE</v>
      </c>
    </row>
    <row r="7" customFormat="false" ht="25.5" hidden="false" customHeight="true" outlineLevel="0" collapsed="false">
      <c r="B7" s="12" t="s">
        <v>229</v>
      </c>
      <c r="C7" s="10" t="s">
        <v>230</v>
      </c>
      <c r="D7" s="10" t="s">
        <v>231</v>
      </c>
      <c r="E7" s="10" t="s">
        <v>232</v>
      </c>
      <c r="F7" s="10" t="n">
        <v>3</v>
      </c>
      <c r="G7" s="10" t="s">
        <v>227</v>
      </c>
      <c r="H7" s="14" t="n">
        <f aca="false">VLOOKUP(G7,$G$22:$H$26,2,0)</f>
        <v>4</v>
      </c>
      <c r="I7" s="13" t="n">
        <f aca="false">H7-F7</f>
        <v>1</v>
      </c>
      <c r="J7" s="10" t="s">
        <v>79</v>
      </c>
      <c r="K7" s="10" t="s">
        <v>228</v>
      </c>
      <c r="L7" s="13" t="str">
        <f aca="false">IF(K7="Resolved","RESOLVED",IF(J7="NO","ADVISORY — TRACK",IF(I7&lt;=2,"UNDER-SLACKED — ESCALATE","ON TRACK")))</f>
        <v>UNDER-SLACKED — ESCALATE</v>
      </c>
    </row>
    <row r="8" customFormat="false" ht="25.5" hidden="false" customHeight="true" outlineLevel="0" collapsed="false">
      <c r="B8" s="12" t="s">
        <v>233</v>
      </c>
      <c r="C8" s="10" t="s">
        <v>234</v>
      </c>
      <c r="D8" s="10" t="s">
        <v>225</v>
      </c>
      <c r="E8" s="10" t="s">
        <v>235</v>
      </c>
      <c r="F8" s="10" t="n">
        <v>3</v>
      </c>
      <c r="G8" s="10" t="s">
        <v>227</v>
      </c>
      <c r="H8" s="14" t="n">
        <f aca="false">VLOOKUP(G8,$G$22:$H$26,2,0)</f>
        <v>4</v>
      </c>
      <c r="I8" s="13" t="n">
        <f aca="false">H8-F8</f>
        <v>1</v>
      </c>
      <c r="J8" s="10" t="s">
        <v>79</v>
      </c>
      <c r="K8" s="10" t="s">
        <v>236</v>
      </c>
      <c r="L8" s="13" t="str">
        <f aca="false">IF(K8="Resolved","RESOLVED",IF(J8="NO","ADVISORY — TRACK",IF(I8&lt;=2,"UNDER-SLACKED — ESCALATE","ON TRACK")))</f>
        <v>RESOLVED</v>
      </c>
    </row>
    <row r="9" customFormat="false" ht="25.5" hidden="false" customHeight="true" outlineLevel="0" collapsed="false">
      <c r="B9" s="12" t="s">
        <v>237</v>
      </c>
      <c r="C9" s="10" t="s">
        <v>238</v>
      </c>
      <c r="D9" s="10" t="s">
        <v>239</v>
      </c>
      <c r="E9" s="10" t="s">
        <v>240</v>
      </c>
      <c r="F9" s="10" t="n">
        <v>12</v>
      </c>
      <c r="G9" s="10" t="s">
        <v>241</v>
      </c>
      <c r="H9" s="14" t="n">
        <f aca="false">VLOOKUP(G9,$G$22:$H$26,2,0)</f>
        <v>14</v>
      </c>
      <c r="I9" s="13" t="n">
        <f aca="false">H9-F9</f>
        <v>2</v>
      </c>
      <c r="J9" s="10" t="s">
        <v>79</v>
      </c>
      <c r="K9" s="10" t="s">
        <v>228</v>
      </c>
      <c r="L9" s="13" t="str">
        <f aca="false">IF(K9="Resolved","RESOLVED",IF(J9="NO","ADVISORY — TRACK",IF(I9&lt;=2,"UNDER-SLACKED — ESCALATE","ON TRACK")))</f>
        <v>UNDER-SLACKED — ESCALATE</v>
      </c>
    </row>
    <row r="10" customFormat="false" ht="25.5" hidden="false" customHeight="true" outlineLevel="0" collapsed="false">
      <c r="B10" s="12" t="s">
        <v>242</v>
      </c>
      <c r="C10" s="10" t="s">
        <v>243</v>
      </c>
      <c r="D10" s="10" t="s">
        <v>231</v>
      </c>
      <c r="E10" s="10" t="s">
        <v>244</v>
      </c>
      <c r="F10" s="10" t="n">
        <v>16</v>
      </c>
      <c r="G10" s="10" t="s">
        <v>245</v>
      </c>
      <c r="H10" s="14" t="n">
        <f aca="false">VLOOKUP(G10,$G$22:$H$26,2,0)</f>
        <v>19</v>
      </c>
      <c r="I10" s="13" t="n">
        <f aca="false">H10-F10</f>
        <v>3</v>
      </c>
      <c r="J10" s="10" t="s">
        <v>86</v>
      </c>
      <c r="K10" s="10" t="s">
        <v>228</v>
      </c>
      <c r="L10" s="13" t="str">
        <f aca="false">IF(K10="Resolved","RESOLVED",IF(J10="NO","ADVISORY — TRACK",IF(I10&lt;=2,"UNDER-SLACKED — ESCALATE","ON TRACK")))</f>
        <v>ADVISORY — TRACK</v>
      </c>
    </row>
    <row r="11" customFormat="false" ht="25.5" hidden="false" customHeight="true" outlineLevel="0" collapsed="false">
      <c r="B11" s="12" t="s">
        <v>246</v>
      </c>
      <c r="C11" s="10" t="s">
        <v>247</v>
      </c>
      <c r="D11" s="10" t="s">
        <v>239</v>
      </c>
      <c r="E11" s="10" t="s">
        <v>248</v>
      </c>
      <c r="F11" s="10" t="n">
        <v>14</v>
      </c>
      <c r="G11" s="10" t="s">
        <v>249</v>
      </c>
      <c r="H11" s="14" t="n">
        <f aca="false">VLOOKUP(G11,$G$22:$H$26,2,0)</f>
        <v>25</v>
      </c>
      <c r="I11" s="13" t="n">
        <f aca="false">H11-F11</f>
        <v>11</v>
      </c>
      <c r="J11" s="10" t="s">
        <v>79</v>
      </c>
      <c r="K11" s="10" t="s">
        <v>228</v>
      </c>
      <c r="L11" s="13" t="str">
        <f aca="false">IF(K11="Resolved","RESOLVED",IF(J11="NO","ADVISORY — TRACK",IF(I11&lt;=2,"UNDER-SLACKED — ESCALATE","ON TRACK")))</f>
        <v>ON TRACK</v>
      </c>
    </row>
    <row r="12" customFormat="false" ht="25.5" hidden="false" customHeight="true" outlineLevel="0" collapsed="false">
      <c r="B12" s="12" t="s">
        <v>250</v>
      </c>
      <c r="C12" s="10" t="s">
        <v>251</v>
      </c>
      <c r="D12" s="10" t="s">
        <v>239</v>
      </c>
      <c r="E12" s="10" t="s">
        <v>252</v>
      </c>
      <c r="F12" s="10" t="n">
        <v>6</v>
      </c>
      <c r="G12" s="10" t="s">
        <v>253</v>
      </c>
      <c r="H12" s="14" t="n">
        <f aca="false">VLOOKUP(G12,$G$22:$H$26,2,0)</f>
        <v>9</v>
      </c>
      <c r="I12" s="13" t="n">
        <f aca="false">H12-F12</f>
        <v>3</v>
      </c>
      <c r="J12" s="10" t="s">
        <v>86</v>
      </c>
      <c r="K12" s="10" t="s">
        <v>228</v>
      </c>
      <c r="L12" s="13" t="str">
        <f aca="false">IF(K12="Resolved","RESOLVED",IF(J12="NO","ADVISORY — TRACK",IF(I12&lt;=2,"UNDER-SLACKED — ESCALATE","ON TRACK")))</f>
        <v>ADVISORY — TRACK</v>
      </c>
    </row>
    <row r="13" customFormat="false" ht="15" hidden="false" customHeight="true" outlineLevel="0" collapsed="false">
      <c r="B13" s="16" t="s">
        <v>254</v>
      </c>
      <c r="C13" s="16"/>
      <c r="D13" s="16"/>
      <c r="E13" s="16"/>
      <c r="F13" s="16"/>
      <c r="G13" s="16"/>
      <c r="H13" s="16"/>
      <c r="I13" s="16"/>
      <c r="J13" s="16"/>
      <c r="K13" s="16"/>
      <c r="L13" s="16"/>
    </row>
    <row r="15" customFormat="false" ht="15" hidden="false" customHeight="true" outlineLevel="0" collapsed="false">
      <c r="B15" s="4" t="s">
        <v>255</v>
      </c>
    </row>
    <row r="16" customFormat="false" ht="23.25" hidden="false" customHeight="true" outlineLevel="0" collapsed="false">
      <c r="B16" s="11" t="s">
        <v>256</v>
      </c>
      <c r="C16" s="11" t="s">
        <v>257</v>
      </c>
      <c r="D16" s="11" t="s">
        <v>258</v>
      </c>
      <c r="E16" s="11" t="s">
        <v>259</v>
      </c>
    </row>
    <row r="17" customFormat="false" ht="34.5" hidden="false" customHeight="true" outlineLevel="0" collapsed="false">
      <c r="B17" s="24" t="s">
        <v>260</v>
      </c>
      <c r="C17" s="10" t="s">
        <v>79</v>
      </c>
      <c r="D17" s="10" t="s">
        <v>261</v>
      </c>
      <c r="E17" s="10" t="s">
        <v>262</v>
      </c>
    </row>
    <row r="18" customFormat="false" ht="34.5" hidden="false" customHeight="true" outlineLevel="0" collapsed="false">
      <c r="B18" s="24" t="s">
        <v>263</v>
      </c>
      <c r="C18" s="10" t="s">
        <v>79</v>
      </c>
      <c r="D18" s="10" t="s">
        <v>264</v>
      </c>
      <c r="E18" s="10" t="s">
        <v>265</v>
      </c>
    </row>
    <row r="19" customFormat="false" ht="34.5" hidden="false" customHeight="true" outlineLevel="0" collapsed="false">
      <c r="B19" s="24" t="s">
        <v>266</v>
      </c>
      <c r="C19" s="10" t="s">
        <v>79</v>
      </c>
      <c r="D19" s="10" t="s">
        <v>267</v>
      </c>
      <c r="E19" s="10" t="s">
        <v>268</v>
      </c>
    </row>
    <row r="21" customFormat="false" ht="15" hidden="false" customHeight="true" outlineLevel="0" collapsed="false">
      <c r="B21" s="4" t="s">
        <v>269</v>
      </c>
      <c r="G21" s="11" t="s">
        <v>270</v>
      </c>
      <c r="H21" s="11" t="s">
        <v>271</v>
      </c>
    </row>
    <row r="22" customFormat="false" ht="15" hidden="false" customHeight="true" outlineLevel="0" collapsed="false">
      <c r="G22" s="10" t="s">
        <v>227</v>
      </c>
      <c r="H22" s="10" t="n">
        <v>4</v>
      </c>
    </row>
    <row r="23" customFormat="false" ht="15" hidden="false" customHeight="true" outlineLevel="0" collapsed="false">
      <c r="G23" s="10" t="s">
        <v>253</v>
      </c>
      <c r="H23" s="10" t="n">
        <v>9</v>
      </c>
    </row>
    <row r="24" customFormat="false" ht="15" hidden="false" customHeight="true" outlineLevel="0" collapsed="false">
      <c r="G24" s="10" t="s">
        <v>241</v>
      </c>
      <c r="H24" s="10" t="n">
        <v>14</v>
      </c>
    </row>
    <row r="25" customFormat="false" ht="15" hidden="false" customHeight="true" outlineLevel="0" collapsed="false">
      <c r="G25" s="10" t="s">
        <v>245</v>
      </c>
      <c r="H25" s="10" t="n">
        <v>19</v>
      </c>
    </row>
    <row r="26" customFormat="false" ht="15" hidden="false" customHeight="true" outlineLevel="0" collapsed="false">
      <c r="G26" s="10" t="s">
        <v>249</v>
      </c>
      <c r="H26" s="10" t="n">
        <v>25</v>
      </c>
    </row>
  </sheetData>
  <mergeCells count="1">
    <mergeCell ref="B13:L13"/>
  </mergeCells>
  <conditionalFormatting sqref="H2">
    <cfRule type="expression" priority="2" aboveAverage="0" equalAverage="0" bottom="0" percent="0" rank="0" text="" dxfId="0">
      <formula>ISNUMBER(SEARCH("NO-GO",H2))</formula>
    </cfRule>
    <cfRule type="expression" priority="3" aboveAverage="0" equalAverage="0" bottom="0" percent="0" rank="0" text="" dxfId="0">
      <formula>ISNUMBER(SEARCH("HOLD",H2))</formula>
    </cfRule>
    <cfRule type="expression" priority="4" aboveAverage="0" equalAverage="0" bottom="0" percent="0" rank="0" text="" dxfId="0">
      <formula>ISNUMBER(SEARCH("KILL",H2))</formula>
    </cfRule>
    <cfRule type="expression" priority="5" aboveAverage="0" equalAverage="0" bottom="0" percent="0" rank="0" text="" dxfId="0">
      <formula>ISNUMBER(SEARCH("BLOCKED",H2))</formula>
    </cfRule>
    <cfRule type="expression" priority="6" aboveAverage="0" equalAverage="0" bottom="0" percent="0" rank="0" text="" dxfId="0">
      <formula>ISNUMBER(SEARCH("INVALID",H2))</formula>
    </cfRule>
    <cfRule type="expression" priority="7" aboveAverage="0" equalAverage="0" bottom="0" percent="0" rank="0" text="" dxfId="0">
      <formula>ISNUMBER(SEARCH("VIOLATION",H2))</formula>
    </cfRule>
    <cfRule type="expression" priority="8" aboveAverage="0" equalAverage="0" bottom="0" percent="0" rank="0" text="" dxfId="0">
      <formula>ISNUMBER(SEARCH("UNDER-SLACKED",H2))</formula>
    </cfRule>
    <cfRule type="expression" priority="9" aboveAverage="0" equalAverage="0" bottom="0" percent="0" rank="0" text="" dxfId="0">
      <formula>ISNUMBER(SEARCH("NOT YET",H2))</formula>
    </cfRule>
    <cfRule type="expression" priority="10" aboveAverage="0" equalAverage="0" bottom="0" percent="0" rank="0" text="" dxfId="0">
      <formula>ISNUMBER(SEARCH("HALF",H2))</formula>
    </cfRule>
    <cfRule type="expression" priority="11" aboveAverage="0" equalAverage="0" bottom="0" percent="0" rank="0" text="" dxfId="0">
      <formula>ISNUMBER(SEARCH("INCOMPLETE",H2))</formula>
    </cfRule>
    <cfRule type="expression" priority="12" aboveAverage="0" equalAverage="0" bottom="0" percent="0" rank="0" text="" dxfId="0">
      <formula>ISNUMBER(SEARCH("ALERT",H2))</formula>
    </cfRule>
    <cfRule type="expression" priority="13" aboveAverage="0" equalAverage="0" bottom="0" percent="0" rank="0" text="" dxfId="0">
      <formula>ISNUMBER(SEARCH("BELOW",H2))</formula>
    </cfRule>
    <cfRule type="expression" priority="14" aboveAverage="0" equalAverage="0" bottom="0" percent="0" rank="0" text="" dxfId="0">
      <formula>ISNUMBER(SEARCH("FAIL",H2))</formula>
    </cfRule>
    <cfRule type="expression" priority="15" aboveAverage="0" equalAverage="0" bottom="0" percent="0" rank="0" text="" dxfId="0">
      <formula>ISNUMBER(SEARCH("STAGNANT",H2))</formula>
    </cfRule>
    <cfRule type="expression" priority="16" aboveAverage="0" equalAverage="0" bottom="0" percent="0" rank="0" text="" dxfId="0">
      <formula>ISNUMBER(SEARCH("MISSING",H2))</formula>
    </cfRule>
    <cfRule type="expression" priority="17" aboveAverage="0" equalAverage="0" bottom="0" percent="0" rank="0" text="" dxfId="0">
      <formula>ISNUMBER(SEARCH("PLANTED",H2))</formula>
    </cfRule>
    <cfRule type="expression" priority="18" aboveAverage="0" equalAverage="0" bottom="0" percent="0" rank="0" text="" dxfId="0">
      <formula>ISNUMBER(SEARCH("WRITE WITHOUT",H2))</formula>
    </cfRule>
    <cfRule type="expression" priority="19" aboveAverage="0" equalAverage="0" bottom="0" percent="0" rank="0" text="" dxfId="0">
      <formula>ISNUMBER(SEARCH("CHALLENGE",H2))</formula>
    </cfRule>
    <cfRule type="expression" priority="20" aboveAverage="0" equalAverage="0" bottom="0" percent="0" rank="0" text="" dxfId="0">
      <formula>ISNUMBER(SEARCH("NOT STARTED",H2))</formula>
    </cfRule>
    <cfRule type="expression" priority="21" aboveAverage="0" equalAverage="0" bottom="0" percent="0" rank="0" text="" dxfId="0">
      <formula>ISNUMBER(SEARCH("DISCUSS",H2))</formula>
    </cfRule>
    <cfRule type="expression" priority="22" aboveAverage="0" equalAverage="0" bottom="0" percent="0" rank="0" text="" dxfId="0">
      <formula>ISNUMBER(SEARCH("UNSIGNED",H2))</formula>
    </cfRule>
    <cfRule type="expression" priority="23" aboveAverage="0" equalAverage="0" bottom="0" percent="0" rank="0" text="" dxfId="0">
      <formula>ISNUMBER(SEARCH("FALSE ALARM",H2))</formula>
    </cfRule>
    <cfRule type="expression" priority="24" aboveAverage="0" equalAverage="0" bottom="0" percent="0" rank="0" text="" dxfId="0">
      <formula>ISNUMBER(SEARCH("MISSED",H2))</formula>
    </cfRule>
    <cfRule type="expression" priority="25" aboveAverage="0" equalAverage="0" bottom="0" percent="0" rank="0" text="" dxfId="0">
      <formula>ISNUMBER(SEARCH("COSTUME",H2))</formula>
    </cfRule>
    <cfRule type="expression" priority="26" aboveAverage="0" equalAverage="0" bottom="0" percent="0" rank="0" text="" dxfId="0">
      <formula>ISNUMBER(SEARCH("PROMISE WITHOUT",H2))</formula>
    </cfRule>
    <cfRule type="expression" priority="27" aboveAverage="0" equalAverage="0" bottom="0" percent="0" rank="0" text="" dxfId="1">
      <formula>ISNUMBER(SEARCH("BORDERLINE",H2))</formula>
    </cfRule>
    <cfRule type="expression" priority="28" aboveAverage="0" equalAverage="0" bottom="0" percent="0" rank="0" text="" dxfId="1">
      <formula>ISNUMBER(SEARCH("WORKFLOW",H2))</formula>
    </cfRule>
    <cfRule type="expression" priority="29" aboveAverage="0" equalAverage="0" bottom="0" percent="0" rank="0" text="" dxfId="1">
      <formula>ISNUMBER(SEARCH("PENDING",H2))</formula>
    </cfRule>
    <cfRule type="expression" priority="30" aboveAverage="0" equalAverage="0" bottom="0" percent="0" rank="0" text="" dxfId="1">
      <formula>ISNUMBER(SEARCH("ADVISORY",H2))</formula>
    </cfRule>
    <cfRule type="expression" priority="31" aboveAverage="0" equalAverage="0" bottom="0" percent="0" rank="0" text="" dxfId="1">
      <formula>ISNUMBER(SEARCH("ABOVE",H2))</formula>
    </cfRule>
    <cfRule type="expression" priority="32" aboveAverage="0" equalAverage="0" bottom="0" percent="0" rank="0" text="" dxfId="1">
      <formula>ISNUMBER(SEARCH("TUNE",H2))</formula>
    </cfRule>
    <cfRule type="expression" priority="33" aboveAverage="0" equalAverage="0" bottom="0" percent="0" rank="0" text="" dxfId="1">
      <formula>ISNUMBER(SEARCH("REVIEW",H2))</formula>
    </cfRule>
    <cfRule type="expression" priority="34" aboveAverage="0" equalAverage="0" bottom="0" percent="0" rank="0" text="" dxfId="1">
      <formula>ISNUMBER(SEARCH("DECIDE",H2))</formula>
    </cfRule>
    <cfRule type="expression" priority="35" aboveAverage="0" equalAverage="0" bottom="0" percent="0" rank="0" text="" dxfId="1">
      <formula>ISNUMBER(SEARCH("IN PROGRESS",H2))</formula>
    </cfRule>
    <cfRule type="expression" priority="36" aboveAverage="0" equalAverage="0" bottom="0" percent="0" rank="0" text="" dxfId="1">
      <formula>ISNUMBER(SEARCH("PARTIAL",H2))</formula>
    </cfRule>
    <cfRule type="expression" priority="37" aboveAverage="0" equalAverage="0" bottom="0" percent="0" rank="0" text="" dxfId="1">
      <formula>ISNUMBER(SEARCH("NO DATA",H2))</formula>
    </cfRule>
    <cfRule type="expression" priority="38" aboveAverage="0" equalAverage="0" bottom="0" percent="0" rank="0" text="" dxfId="1">
      <formula>ISNUMBER(SEARCH("NOT RUN",H2))</formula>
    </cfRule>
    <cfRule type="expression" priority="39" aboveAverage="0" equalAverage="0" bottom="0" percent="0" rank="0" text="" dxfId="1">
      <formula>ISNUMBER(SEARCH("EVALUATE",H2))</formula>
    </cfRule>
    <cfRule type="expression" priority="40" aboveAverage="0" equalAverage="0" bottom="0" percent="0" rank="0" text="" dxfId="1">
      <formula>ISNUMBER(SEARCH("TIGHTEN",H2))</formula>
    </cfRule>
    <cfRule type="expression" priority="41" aboveAverage="0" equalAverage="0" bottom="0" percent="0" rank="0" text="" dxfId="1">
      <formula>ISNUMBER(SEARCH("LOOSEN",H2))</formula>
    </cfRule>
    <cfRule type="expression" priority="42" aboveAverage="0" equalAverage="0" bottom="0" percent="0" rank="0" text="" dxfId="1">
      <formula>ISNUMBER(SEARCH("WEAK",H2))</formula>
    </cfRule>
    <cfRule type="expression" priority="43" aboveAverage="0" equalAverage="0" bottom="0" percent="0" rank="0" text="" dxfId="1">
      <formula>ISNUMBER(SEARCH("ADJACENT",H2))</formula>
    </cfRule>
    <cfRule type="expression" priority="44" aboveAverage="0" equalAverage="0" bottom="0" percent="0" rank="0" text="" dxfId="1">
      <formula>ISNUMBER(SEARCH("GAPS",H2))</formula>
    </cfRule>
    <cfRule type="expression" priority="45" aboveAverage="0" equalAverage="0" bottom="0" percent="0" rank="0" text="" dxfId="1">
      <formula>ISNUMBER(SEARCH("ADD ONE",H2))</formula>
    </cfRule>
    <cfRule type="expression" priority="46" aboveAverage="0" equalAverage="0" bottom="0" percent="0" rank="0" text="" dxfId="1">
      <formula>ISNUMBER(SEARCH("⚠",H2))</formula>
    </cfRule>
    <cfRule type="expression" priority="47" aboveAverage="0" equalAverage="0" bottom="0" percent="0" rank="0" text="" dxfId="2">
      <formula>ISNUMBER(SEARCH("PASS",H2))</formula>
    </cfRule>
    <cfRule type="expression" priority="48" aboveAverage="0" equalAverage="0" bottom="0" percent="0" rank="0" text="" dxfId="2">
      <formula>ISNUMBER(SEARCH("GO",H2))</formula>
    </cfRule>
    <cfRule type="expression" priority="49" aboveAverage="0" equalAverage="0" bottom="0" percent="0" rank="0" text="" dxfId="2">
      <formula>ISNUMBER(SEARCH("BUILD",H2))</formula>
    </cfRule>
    <cfRule type="expression" priority="50" aboveAverage="0" equalAverage="0" bottom="0" percent="0" rank="0" text="" dxfId="2">
      <formula>ISNUMBER(SEARCH("COMPLETE",H2))</formula>
    </cfRule>
    <cfRule type="expression" priority="51" aboveAverage="0" equalAverage="0" bottom="0" percent="0" rank="0" text="" dxfId="2">
      <formula>ISNUMBER(SEARCH("ELIGIBLE",H2))</formula>
    </cfRule>
    <cfRule type="expression" priority="52" aboveAverage="0" equalAverage="0" bottom="0" percent="0" rank="0" text="" dxfId="2">
      <formula>ISNUMBER(SEARCH("SHIP",H2))</formula>
    </cfRule>
    <cfRule type="expression" priority="53" aboveAverage="0" equalAverage="0" bottom="0" percent="0" rank="0" text="" dxfId="2">
      <formula>ISNUMBER(SEARCH("ON TARGET",H2))</formula>
    </cfRule>
    <cfRule type="expression" priority="54" aboveAverage="0" equalAverage="0" bottom="0" percent="0" rank="0" text="" dxfId="2">
      <formula>ISNUMBER(SEARCH("ON TRACK",H2))</formula>
    </cfRule>
    <cfRule type="expression" priority="55" aboveAverage="0" equalAverage="0" bottom="0" percent="0" rank="0" text="" dxfId="2">
      <formula>ISNUMBER(SEARCH("RESOLVED",H2))</formula>
    </cfRule>
    <cfRule type="expression" priority="56" aboveAverage="0" equalAverage="0" bottom="0" percent="0" rank="0" text="" dxfId="2">
      <formula>ISNUMBER(SEARCH("OK",H2))</formula>
    </cfRule>
    <cfRule type="expression" priority="57" aboveAverage="0" equalAverage="0" bottom="0" percent="0" rank="0" text="" dxfId="2">
      <formula>ISNUMBER(SEARCH("MATCH",H2))</formula>
    </cfRule>
    <cfRule type="expression" priority="58" aboveAverage="0" equalAverage="0" bottom="0" percent="0" rank="0" text="" dxfId="2">
      <formula>ISNUMBER(SEARCH("SOUND",H2))</formula>
    </cfRule>
    <cfRule type="expression" priority="59" aboveAverage="0" equalAverage="0" bottom="0" percent="0" rank="0" text="" dxfId="2">
      <formula>ISNUMBER(SEARCH("WITHIN",H2))</formula>
    </cfRule>
    <cfRule type="expression" priority="60" aboveAverage="0" equalAverage="0" bottom="0" percent="0" rank="0" text="" dxfId="2">
      <formula>ISNUMBER(SEARCH("DONE",H2))</formula>
    </cfRule>
    <cfRule type="expression" priority="61" aboveAverage="0" equalAverage="0" bottom="0" percent="0" rank="0" text="" dxfId="2">
      <formula>ISNUMBER(SEARCH("SIGNED",H2))</formula>
    </cfRule>
    <cfRule type="expression" priority="62" aboveAverage="0" equalAverage="0" bottom="0" percent="0" rank="0" text="" dxfId="2">
      <formula>ISNUMBER(SEARCH("✓",H2))</formula>
    </cfRule>
    <cfRule type="expression" priority="63" aboveAverage="0" equalAverage="0" bottom="0" percent="0" rank="0" text="" dxfId="2">
      <formula>ISNUMBER(SEARCH("KEEP",H2))</formula>
    </cfRule>
    <cfRule type="expression" priority="64" aboveAverage="0" equalAverage="0" bottom="0" percent="0" rank="0" text="" dxfId="2">
      <formula>ISNUMBER(SEARCH("DEV-READY",H2))</formula>
    </cfRule>
    <cfRule type="expression" priority="65" aboveAverage="0" equalAverage="0" bottom="0" percent="0" rank="0" text="" dxfId="2">
      <formula>ISNUMBER(SEARCH("GREW",H2))</formula>
    </cfRule>
    <cfRule type="expression" priority="66" aboveAverage="0" equalAverage="0" bottom="0" percent="0" rank="0" text="" dxfId="2">
      <formula>ISNUMBER(SEARCH("HIT",H2))</formula>
    </cfRule>
    <cfRule type="expression" priority="67" aboveAverage="0" equalAverage="0" bottom="0" percent="0" rank="0" text="" dxfId="2">
      <formula>ISNUMBER(SEARCH("CORRECT",H2))</formula>
    </cfRule>
    <cfRule type="expression" priority="68" aboveAverage="0" equalAverage="0" bottom="0" percent="0" rank="0" text="" dxfId="2">
      <formula>ISNUMBER(SEARCH("STAY",H2))</formula>
    </cfRule>
  </conditionalFormatting>
  <conditionalFormatting sqref="L6:L12">
    <cfRule type="expression" priority="69" aboveAverage="0" equalAverage="0" bottom="0" percent="0" rank="0" text="" dxfId="0">
      <formula>ISNUMBER(SEARCH("NO-GO",L6))</formula>
    </cfRule>
    <cfRule type="expression" priority="70" aboveAverage="0" equalAverage="0" bottom="0" percent="0" rank="0" text="" dxfId="0">
      <formula>ISNUMBER(SEARCH("HOLD",L6))</formula>
    </cfRule>
    <cfRule type="expression" priority="71" aboveAverage="0" equalAverage="0" bottom="0" percent="0" rank="0" text="" dxfId="0">
      <formula>ISNUMBER(SEARCH("KILL",L6))</formula>
    </cfRule>
    <cfRule type="expression" priority="72" aboveAverage="0" equalAverage="0" bottom="0" percent="0" rank="0" text="" dxfId="0">
      <formula>ISNUMBER(SEARCH("BLOCKED",L6))</formula>
    </cfRule>
    <cfRule type="expression" priority="73" aboveAverage="0" equalAverage="0" bottom="0" percent="0" rank="0" text="" dxfId="0">
      <formula>ISNUMBER(SEARCH("INVALID",L6))</formula>
    </cfRule>
    <cfRule type="expression" priority="74" aboveAverage="0" equalAverage="0" bottom="0" percent="0" rank="0" text="" dxfId="0">
      <formula>ISNUMBER(SEARCH("VIOLATION",L6))</formula>
    </cfRule>
    <cfRule type="expression" priority="75" aboveAverage="0" equalAverage="0" bottom="0" percent="0" rank="0" text="" dxfId="0">
      <formula>ISNUMBER(SEARCH("UNDER-SLACKED",L6))</formula>
    </cfRule>
    <cfRule type="expression" priority="76" aboveAverage="0" equalAverage="0" bottom="0" percent="0" rank="0" text="" dxfId="0">
      <formula>ISNUMBER(SEARCH("NOT YET",L6))</formula>
    </cfRule>
    <cfRule type="expression" priority="77" aboveAverage="0" equalAverage="0" bottom="0" percent="0" rank="0" text="" dxfId="0">
      <formula>ISNUMBER(SEARCH("HALF",L6))</formula>
    </cfRule>
    <cfRule type="expression" priority="78" aboveAverage="0" equalAverage="0" bottom="0" percent="0" rank="0" text="" dxfId="0">
      <formula>ISNUMBER(SEARCH("INCOMPLETE",L6))</formula>
    </cfRule>
    <cfRule type="expression" priority="79" aboveAverage="0" equalAverage="0" bottom="0" percent="0" rank="0" text="" dxfId="0">
      <formula>ISNUMBER(SEARCH("ALERT",L6))</formula>
    </cfRule>
    <cfRule type="expression" priority="80" aboveAverage="0" equalAverage="0" bottom="0" percent="0" rank="0" text="" dxfId="0">
      <formula>ISNUMBER(SEARCH("BELOW",L6))</formula>
    </cfRule>
    <cfRule type="expression" priority="81" aboveAverage="0" equalAverage="0" bottom="0" percent="0" rank="0" text="" dxfId="0">
      <formula>ISNUMBER(SEARCH("FAIL",L6))</formula>
    </cfRule>
    <cfRule type="expression" priority="82" aboveAverage="0" equalAverage="0" bottom="0" percent="0" rank="0" text="" dxfId="0">
      <formula>ISNUMBER(SEARCH("STAGNANT",L6))</formula>
    </cfRule>
    <cfRule type="expression" priority="83" aboveAverage="0" equalAverage="0" bottom="0" percent="0" rank="0" text="" dxfId="0">
      <formula>ISNUMBER(SEARCH("MISSING",L6))</formula>
    </cfRule>
    <cfRule type="expression" priority="84" aboveAverage="0" equalAverage="0" bottom="0" percent="0" rank="0" text="" dxfId="0">
      <formula>ISNUMBER(SEARCH("PLANTED",L6))</formula>
    </cfRule>
    <cfRule type="expression" priority="85" aboveAverage="0" equalAverage="0" bottom="0" percent="0" rank="0" text="" dxfId="0">
      <formula>ISNUMBER(SEARCH("WRITE WITHOUT",L6))</formula>
    </cfRule>
    <cfRule type="expression" priority="86" aboveAverage="0" equalAverage="0" bottom="0" percent="0" rank="0" text="" dxfId="0">
      <formula>ISNUMBER(SEARCH("CHALLENGE",L6))</formula>
    </cfRule>
    <cfRule type="expression" priority="87" aboveAverage="0" equalAverage="0" bottom="0" percent="0" rank="0" text="" dxfId="0">
      <formula>ISNUMBER(SEARCH("NOT STARTED",L6))</formula>
    </cfRule>
    <cfRule type="expression" priority="88" aboveAverage="0" equalAverage="0" bottom="0" percent="0" rank="0" text="" dxfId="0">
      <formula>ISNUMBER(SEARCH("DISCUSS",L6))</formula>
    </cfRule>
    <cfRule type="expression" priority="89" aboveAverage="0" equalAverage="0" bottom="0" percent="0" rank="0" text="" dxfId="0">
      <formula>ISNUMBER(SEARCH("UNSIGNED",L6))</formula>
    </cfRule>
    <cfRule type="expression" priority="90" aboveAverage="0" equalAverage="0" bottom="0" percent="0" rank="0" text="" dxfId="0">
      <formula>ISNUMBER(SEARCH("FALSE ALARM",L6))</formula>
    </cfRule>
    <cfRule type="expression" priority="91" aboveAverage="0" equalAverage="0" bottom="0" percent="0" rank="0" text="" dxfId="0">
      <formula>ISNUMBER(SEARCH("MISSED",L6))</formula>
    </cfRule>
    <cfRule type="expression" priority="92" aboveAverage="0" equalAverage="0" bottom="0" percent="0" rank="0" text="" dxfId="0">
      <formula>ISNUMBER(SEARCH("COSTUME",L6))</formula>
    </cfRule>
    <cfRule type="expression" priority="93" aboveAverage="0" equalAverage="0" bottom="0" percent="0" rank="0" text="" dxfId="0">
      <formula>ISNUMBER(SEARCH("PROMISE WITHOUT",L6))</formula>
    </cfRule>
    <cfRule type="expression" priority="94" aboveAverage="0" equalAverage="0" bottom="0" percent="0" rank="0" text="" dxfId="1">
      <formula>ISNUMBER(SEARCH("BORDERLINE",L6))</formula>
    </cfRule>
    <cfRule type="expression" priority="95" aboveAverage="0" equalAverage="0" bottom="0" percent="0" rank="0" text="" dxfId="1">
      <formula>ISNUMBER(SEARCH("WORKFLOW",L6))</formula>
    </cfRule>
    <cfRule type="expression" priority="96" aboveAverage="0" equalAverage="0" bottom="0" percent="0" rank="0" text="" dxfId="1">
      <formula>ISNUMBER(SEARCH("PENDING",L6))</formula>
    </cfRule>
    <cfRule type="expression" priority="97" aboveAverage="0" equalAverage="0" bottom="0" percent="0" rank="0" text="" dxfId="1">
      <formula>ISNUMBER(SEARCH("ADVISORY",L6))</formula>
    </cfRule>
    <cfRule type="expression" priority="98" aboveAverage="0" equalAverage="0" bottom="0" percent="0" rank="0" text="" dxfId="1">
      <formula>ISNUMBER(SEARCH("ABOVE",L6))</formula>
    </cfRule>
    <cfRule type="expression" priority="99" aboveAverage="0" equalAverage="0" bottom="0" percent="0" rank="0" text="" dxfId="1">
      <formula>ISNUMBER(SEARCH("TUNE",L6))</formula>
    </cfRule>
    <cfRule type="expression" priority="100" aboveAverage="0" equalAverage="0" bottom="0" percent="0" rank="0" text="" dxfId="1">
      <formula>ISNUMBER(SEARCH("REVIEW",L6))</formula>
    </cfRule>
    <cfRule type="expression" priority="101" aboveAverage="0" equalAverage="0" bottom="0" percent="0" rank="0" text="" dxfId="1">
      <formula>ISNUMBER(SEARCH("DECIDE",L6))</formula>
    </cfRule>
    <cfRule type="expression" priority="102" aboveAverage="0" equalAverage="0" bottom="0" percent="0" rank="0" text="" dxfId="1">
      <formula>ISNUMBER(SEARCH("IN PROGRESS",L6))</formula>
    </cfRule>
    <cfRule type="expression" priority="103" aboveAverage="0" equalAverage="0" bottom="0" percent="0" rank="0" text="" dxfId="1">
      <formula>ISNUMBER(SEARCH("PARTIAL",L6))</formula>
    </cfRule>
    <cfRule type="expression" priority="104" aboveAverage="0" equalAverage="0" bottom="0" percent="0" rank="0" text="" dxfId="1">
      <formula>ISNUMBER(SEARCH("NO DATA",L6))</formula>
    </cfRule>
    <cfRule type="expression" priority="105" aboveAverage="0" equalAverage="0" bottom="0" percent="0" rank="0" text="" dxfId="1">
      <formula>ISNUMBER(SEARCH("NOT RUN",L6))</formula>
    </cfRule>
    <cfRule type="expression" priority="106" aboveAverage="0" equalAverage="0" bottom="0" percent="0" rank="0" text="" dxfId="1">
      <formula>ISNUMBER(SEARCH("EVALUATE",L6))</formula>
    </cfRule>
    <cfRule type="expression" priority="107" aboveAverage="0" equalAverage="0" bottom="0" percent="0" rank="0" text="" dxfId="1">
      <formula>ISNUMBER(SEARCH("TIGHTEN",L6))</formula>
    </cfRule>
    <cfRule type="expression" priority="108" aboveAverage="0" equalAverage="0" bottom="0" percent="0" rank="0" text="" dxfId="1">
      <formula>ISNUMBER(SEARCH("LOOSEN",L6))</formula>
    </cfRule>
    <cfRule type="expression" priority="109" aboveAverage="0" equalAverage="0" bottom="0" percent="0" rank="0" text="" dxfId="1">
      <formula>ISNUMBER(SEARCH("WEAK",L6))</formula>
    </cfRule>
    <cfRule type="expression" priority="110" aboveAverage="0" equalAverage="0" bottom="0" percent="0" rank="0" text="" dxfId="1">
      <formula>ISNUMBER(SEARCH("ADJACENT",L6))</formula>
    </cfRule>
    <cfRule type="expression" priority="111" aboveAverage="0" equalAverage="0" bottom="0" percent="0" rank="0" text="" dxfId="1">
      <formula>ISNUMBER(SEARCH("GAPS",L6))</formula>
    </cfRule>
    <cfRule type="expression" priority="112" aboveAverage="0" equalAverage="0" bottom="0" percent="0" rank="0" text="" dxfId="1">
      <formula>ISNUMBER(SEARCH("ADD ONE",L6))</formula>
    </cfRule>
    <cfRule type="expression" priority="113" aboveAverage="0" equalAverage="0" bottom="0" percent="0" rank="0" text="" dxfId="1">
      <formula>ISNUMBER(SEARCH("⚠",L6))</formula>
    </cfRule>
    <cfRule type="expression" priority="114" aboveAverage="0" equalAverage="0" bottom="0" percent="0" rank="0" text="" dxfId="2">
      <formula>ISNUMBER(SEARCH("PASS",L6))</formula>
    </cfRule>
    <cfRule type="expression" priority="115" aboveAverage="0" equalAverage="0" bottom="0" percent="0" rank="0" text="" dxfId="2">
      <formula>ISNUMBER(SEARCH("GO",L6))</formula>
    </cfRule>
    <cfRule type="expression" priority="116" aboveAverage="0" equalAverage="0" bottom="0" percent="0" rank="0" text="" dxfId="2">
      <formula>ISNUMBER(SEARCH("BUILD",L6))</formula>
    </cfRule>
    <cfRule type="expression" priority="117" aboveAverage="0" equalAverage="0" bottom="0" percent="0" rank="0" text="" dxfId="2">
      <formula>ISNUMBER(SEARCH("COMPLETE",L6))</formula>
    </cfRule>
    <cfRule type="expression" priority="118" aboveAverage="0" equalAverage="0" bottom="0" percent="0" rank="0" text="" dxfId="2">
      <formula>ISNUMBER(SEARCH("ELIGIBLE",L6))</formula>
    </cfRule>
    <cfRule type="expression" priority="119" aboveAverage="0" equalAverage="0" bottom="0" percent="0" rank="0" text="" dxfId="2">
      <formula>ISNUMBER(SEARCH("SHIP",L6))</formula>
    </cfRule>
    <cfRule type="expression" priority="120" aboveAverage="0" equalAverage="0" bottom="0" percent="0" rank="0" text="" dxfId="2">
      <formula>ISNUMBER(SEARCH("ON TARGET",L6))</formula>
    </cfRule>
    <cfRule type="expression" priority="121" aboveAverage="0" equalAverage="0" bottom="0" percent="0" rank="0" text="" dxfId="2">
      <formula>ISNUMBER(SEARCH("ON TRACK",L6))</formula>
    </cfRule>
    <cfRule type="expression" priority="122" aboveAverage="0" equalAverage="0" bottom="0" percent="0" rank="0" text="" dxfId="2">
      <formula>ISNUMBER(SEARCH("RESOLVED",L6))</formula>
    </cfRule>
    <cfRule type="expression" priority="123" aboveAverage="0" equalAverage="0" bottom="0" percent="0" rank="0" text="" dxfId="2">
      <formula>ISNUMBER(SEARCH("OK",L6))</formula>
    </cfRule>
    <cfRule type="expression" priority="124" aboveAverage="0" equalAverage="0" bottom="0" percent="0" rank="0" text="" dxfId="2">
      <formula>ISNUMBER(SEARCH("MATCH",L6))</formula>
    </cfRule>
    <cfRule type="expression" priority="125" aboveAverage="0" equalAverage="0" bottom="0" percent="0" rank="0" text="" dxfId="2">
      <formula>ISNUMBER(SEARCH("SOUND",L6))</formula>
    </cfRule>
    <cfRule type="expression" priority="126" aboveAverage="0" equalAverage="0" bottom="0" percent="0" rank="0" text="" dxfId="2">
      <formula>ISNUMBER(SEARCH("WITHIN",L6))</formula>
    </cfRule>
    <cfRule type="expression" priority="127" aboveAverage="0" equalAverage="0" bottom="0" percent="0" rank="0" text="" dxfId="2">
      <formula>ISNUMBER(SEARCH("DONE",L6))</formula>
    </cfRule>
    <cfRule type="expression" priority="128" aboveAverage="0" equalAverage="0" bottom="0" percent="0" rank="0" text="" dxfId="2">
      <formula>ISNUMBER(SEARCH("SIGNED",L6))</formula>
    </cfRule>
    <cfRule type="expression" priority="129" aboveAverage="0" equalAverage="0" bottom="0" percent="0" rank="0" text="" dxfId="2">
      <formula>ISNUMBER(SEARCH("✓",L6))</formula>
    </cfRule>
    <cfRule type="expression" priority="130" aboveAverage="0" equalAverage="0" bottom="0" percent="0" rank="0" text="" dxfId="2">
      <formula>ISNUMBER(SEARCH("KEEP",L6))</formula>
    </cfRule>
    <cfRule type="expression" priority="131" aboveAverage="0" equalAverage="0" bottom="0" percent="0" rank="0" text="" dxfId="2">
      <formula>ISNUMBER(SEARCH("DEV-READY",L6))</formula>
    </cfRule>
    <cfRule type="expression" priority="132" aboveAverage="0" equalAverage="0" bottom="0" percent="0" rank="0" text="" dxfId="2">
      <formula>ISNUMBER(SEARCH("GREW",L6))</formula>
    </cfRule>
    <cfRule type="expression" priority="133" aboveAverage="0" equalAverage="0" bottom="0" percent="0" rank="0" text="" dxfId="2">
      <formula>ISNUMBER(SEARCH("HIT",L6))</formula>
    </cfRule>
    <cfRule type="expression" priority="134" aboveAverage="0" equalAverage="0" bottom="0" percent="0" rank="0" text="" dxfId="2">
      <formula>ISNUMBER(SEARCH("CORRECT",L6))</formula>
    </cfRule>
    <cfRule type="expression" priority="135" aboveAverage="0" equalAverage="0" bottom="0" percent="0" rank="0" text="" dxfId="2">
      <formula>ISNUMBER(SEARCH("STAY",L6))</formula>
    </cfRule>
  </conditionalFormatting>
  <conditionalFormatting sqref="D17:D19">
    <cfRule type="expression" priority="136" aboveAverage="0" equalAverage="0" bottom="0" percent="0" rank="0" text="" dxfId="0">
      <formula>ISNUMBER(SEARCH("NO-GO",D17))</formula>
    </cfRule>
    <cfRule type="expression" priority="137" aboveAverage="0" equalAverage="0" bottom="0" percent="0" rank="0" text="" dxfId="0">
      <formula>ISNUMBER(SEARCH("HOLD",D17))</formula>
    </cfRule>
    <cfRule type="expression" priority="138" aboveAverage="0" equalAverage="0" bottom="0" percent="0" rank="0" text="" dxfId="0">
      <formula>ISNUMBER(SEARCH("KILL",D17))</formula>
    </cfRule>
    <cfRule type="expression" priority="139" aboveAverage="0" equalAverage="0" bottom="0" percent="0" rank="0" text="" dxfId="0">
      <formula>ISNUMBER(SEARCH("BLOCKED",D17))</formula>
    </cfRule>
    <cfRule type="expression" priority="140" aboveAverage="0" equalAverage="0" bottom="0" percent="0" rank="0" text="" dxfId="0">
      <formula>ISNUMBER(SEARCH("INVALID",D17))</formula>
    </cfRule>
    <cfRule type="expression" priority="141" aboveAverage="0" equalAverage="0" bottom="0" percent="0" rank="0" text="" dxfId="0">
      <formula>ISNUMBER(SEARCH("VIOLATION",D17))</formula>
    </cfRule>
    <cfRule type="expression" priority="142" aboveAverage="0" equalAverage="0" bottom="0" percent="0" rank="0" text="" dxfId="0">
      <formula>ISNUMBER(SEARCH("UNDER-SLACKED",D17))</formula>
    </cfRule>
    <cfRule type="expression" priority="143" aboveAverage="0" equalAverage="0" bottom="0" percent="0" rank="0" text="" dxfId="0">
      <formula>ISNUMBER(SEARCH("NOT YET",D17))</formula>
    </cfRule>
    <cfRule type="expression" priority="144" aboveAverage="0" equalAverage="0" bottom="0" percent="0" rank="0" text="" dxfId="0">
      <formula>ISNUMBER(SEARCH("HALF",D17))</formula>
    </cfRule>
    <cfRule type="expression" priority="145" aboveAverage="0" equalAverage="0" bottom="0" percent="0" rank="0" text="" dxfId="0">
      <formula>ISNUMBER(SEARCH("INCOMPLETE",D17))</formula>
    </cfRule>
    <cfRule type="expression" priority="146" aboveAverage="0" equalAverage="0" bottom="0" percent="0" rank="0" text="" dxfId="0">
      <formula>ISNUMBER(SEARCH("ALERT",D17))</formula>
    </cfRule>
    <cfRule type="expression" priority="147" aboveAverage="0" equalAverage="0" bottom="0" percent="0" rank="0" text="" dxfId="0">
      <formula>ISNUMBER(SEARCH("BELOW",D17))</formula>
    </cfRule>
    <cfRule type="expression" priority="148" aboveAverage="0" equalAverage="0" bottom="0" percent="0" rank="0" text="" dxfId="0">
      <formula>ISNUMBER(SEARCH("FAIL",D17))</formula>
    </cfRule>
    <cfRule type="expression" priority="149" aboveAverage="0" equalAverage="0" bottom="0" percent="0" rank="0" text="" dxfId="0">
      <formula>ISNUMBER(SEARCH("STAGNANT",D17))</formula>
    </cfRule>
    <cfRule type="expression" priority="150" aboveAverage="0" equalAverage="0" bottom="0" percent="0" rank="0" text="" dxfId="0">
      <formula>ISNUMBER(SEARCH("MISSING",D17))</formula>
    </cfRule>
    <cfRule type="expression" priority="151" aboveAverage="0" equalAverage="0" bottom="0" percent="0" rank="0" text="" dxfId="0">
      <formula>ISNUMBER(SEARCH("PLANTED",D17))</formula>
    </cfRule>
    <cfRule type="expression" priority="152" aboveAverage="0" equalAverage="0" bottom="0" percent="0" rank="0" text="" dxfId="0">
      <formula>ISNUMBER(SEARCH("WRITE WITHOUT",D17))</formula>
    </cfRule>
    <cfRule type="expression" priority="153" aboveAverage="0" equalAverage="0" bottom="0" percent="0" rank="0" text="" dxfId="0">
      <formula>ISNUMBER(SEARCH("CHALLENGE",D17))</formula>
    </cfRule>
    <cfRule type="expression" priority="154" aboveAverage="0" equalAverage="0" bottom="0" percent="0" rank="0" text="" dxfId="0">
      <formula>ISNUMBER(SEARCH("NOT STARTED",D17))</formula>
    </cfRule>
    <cfRule type="expression" priority="155" aboveAverage="0" equalAverage="0" bottom="0" percent="0" rank="0" text="" dxfId="0">
      <formula>ISNUMBER(SEARCH("DISCUSS",D17))</formula>
    </cfRule>
    <cfRule type="expression" priority="156" aboveAverage="0" equalAverage="0" bottom="0" percent="0" rank="0" text="" dxfId="0">
      <formula>ISNUMBER(SEARCH("UNSIGNED",D17))</formula>
    </cfRule>
    <cfRule type="expression" priority="157" aboveAverage="0" equalAverage="0" bottom="0" percent="0" rank="0" text="" dxfId="0">
      <formula>ISNUMBER(SEARCH("FALSE ALARM",D17))</formula>
    </cfRule>
    <cfRule type="expression" priority="158" aboveAverage="0" equalAverage="0" bottom="0" percent="0" rank="0" text="" dxfId="0">
      <formula>ISNUMBER(SEARCH("MISSED",D17))</formula>
    </cfRule>
    <cfRule type="expression" priority="159" aboveAverage="0" equalAverage="0" bottom="0" percent="0" rank="0" text="" dxfId="0">
      <formula>ISNUMBER(SEARCH("COSTUME",D17))</formula>
    </cfRule>
    <cfRule type="expression" priority="160" aboveAverage="0" equalAverage="0" bottom="0" percent="0" rank="0" text="" dxfId="0">
      <formula>ISNUMBER(SEARCH("PROMISE WITHOUT",D17))</formula>
    </cfRule>
    <cfRule type="expression" priority="161" aboveAverage="0" equalAverage="0" bottom="0" percent="0" rank="0" text="" dxfId="1">
      <formula>ISNUMBER(SEARCH("BORDERLINE",D17))</formula>
    </cfRule>
    <cfRule type="expression" priority="162" aboveAverage="0" equalAverage="0" bottom="0" percent="0" rank="0" text="" dxfId="1">
      <formula>ISNUMBER(SEARCH("WORKFLOW",D17))</formula>
    </cfRule>
    <cfRule type="expression" priority="163" aboveAverage="0" equalAverage="0" bottom="0" percent="0" rank="0" text="" dxfId="1">
      <formula>ISNUMBER(SEARCH("PENDING",D17))</formula>
    </cfRule>
    <cfRule type="expression" priority="164" aboveAverage="0" equalAverage="0" bottom="0" percent="0" rank="0" text="" dxfId="1">
      <formula>ISNUMBER(SEARCH("ADVISORY",D17))</formula>
    </cfRule>
    <cfRule type="expression" priority="165" aboveAverage="0" equalAverage="0" bottom="0" percent="0" rank="0" text="" dxfId="1">
      <formula>ISNUMBER(SEARCH("ABOVE",D17))</formula>
    </cfRule>
    <cfRule type="expression" priority="166" aboveAverage="0" equalAverage="0" bottom="0" percent="0" rank="0" text="" dxfId="1">
      <formula>ISNUMBER(SEARCH("TUNE",D17))</formula>
    </cfRule>
    <cfRule type="expression" priority="167" aboveAverage="0" equalAverage="0" bottom="0" percent="0" rank="0" text="" dxfId="1">
      <formula>ISNUMBER(SEARCH("REVIEW",D17))</formula>
    </cfRule>
    <cfRule type="expression" priority="168" aboveAverage="0" equalAverage="0" bottom="0" percent="0" rank="0" text="" dxfId="1">
      <formula>ISNUMBER(SEARCH("DECIDE",D17))</formula>
    </cfRule>
    <cfRule type="expression" priority="169" aboveAverage="0" equalAverage="0" bottom="0" percent="0" rank="0" text="" dxfId="1">
      <formula>ISNUMBER(SEARCH("IN PROGRESS",D17))</formula>
    </cfRule>
    <cfRule type="expression" priority="170" aboveAverage="0" equalAverage="0" bottom="0" percent="0" rank="0" text="" dxfId="1">
      <formula>ISNUMBER(SEARCH("PARTIAL",D17))</formula>
    </cfRule>
    <cfRule type="expression" priority="171" aboveAverage="0" equalAverage="0" bottom="0" percent="0" rank="0" text="" dxfId="1">
      <formula>ISNUMBER(SEARCH("NO DATA",D17))</formula>
    </cfRule>
    <cfRule type="expression" priority="172" aboveAverage="0" equalAverage="0" bottom="0" percent="0" rank="0" text="" dxfId="1">
      <formula>ISNUMBER(SEARCH("NOT RUN",D17))</formula>
    </cfRule>
    <cfRule type="expression" priority="173" aboveAverage="0" equalAverage="0" bottom="0" percent="0" rank="0" text="" dxfId="1">
      <formula>ISNUMBER(SEARCH("EVALUATE",D17))</formula>
    </cfRule>
    <cfRule type="expression" priority="174" aboveAverage="0" equalAverage="0" bottom="0" percent="0" rank="0" text="" dxfId="1">
      <formula>ISNUMBER(SEARCH("TIGHTEN",D17))</formula>
    </cfRule>
    <cfRule type="expression" priority="175" aboveAverage="0" equalAverage="0" bottom="0" percent="0" rank="0" text="" dxfId="1">
      <formula>ISNUMBER(SEARCH("LOOSEN",D17))</formula>
    </cfRule>
    <cfRule type="expression" priority="176" aboveAverage="0" equalAverage="0" bottom="0" percent="0" rank="0" text="" dxfId="1">
      <formula>ISNUMBER(SEARCH("WEAK",D17))</formula>
    </cfRule>
    <cfRule type="expression" priority="177" aboveAverage="0" equalAverage="0" bottom="0" percent="0" rank="0" text="" dxfId="1">
      <formula>ISNUMBER(SEARCH("ADJACENT",D17))</formula>
    </cfRule>
    <cfRule type="expression" priority="178" aboveAverage="0" equalAverage="0" bottom="0" percent="0" rank="0" text="" dxfId="1">
      <formula>ISNUMBER(SEARCH("GAPS",D17))</formula>
    </cfRule>
    <cfRule type="expression" priority="179" aboveAverage="0" equalAverage="0" bottom="0" percent="0" rank="0" text="" dxfId="1">
      <formula>ISNUMBER(SEARCH("ADD ONE",D17))</formula>
    </cfRule>
    <cfRule type="expression" priority="180" aboveAverage="0" equalAverage="0" bottom="0" percent="0" rank="0" text="" dxfId="1">
      <formula>ISNUMBER(SEARCH("⚠",D17))</formula>
    </cfRule>
    <cfRule type="expression" priority="181" aboveAverage="0" equalAverage="0" bottom="0" percent="0" rank="0" text="" dxfId="2">
      <formula>ISNUMBER(SEARCH("PASS",D17))</formula>
    </cfRule>
    <cfRule type="expression" priority="182" aboveAverage="0" equalAverage="0" bottom="0" percent="0" rank="0" text="" dxfId="2">
      <formula>ISNUMBER(SEARCH("GO",D17))</formula>
    </cfRule>
    <cfRule type="expression" priority="183" aboveAverage="0" equalAverage="0" bottom="0" percent="0" rank="0" text="" dxfId="2">
      <formula>ISNUMBER(SEARCH("BUILD",D17))</formula>
    </cfRule>
    <cfRule type="expression" priority="184" aboveAverage="0" equalAverage="0" bottom="0" percent="0" rank="0" text="" dxfId="2">
      <formula>ISNUMBER(SEARCH("COMPLETE",D17))</formula>
    </cfRule>
    <cfRule type="expression" priority="185" aboveAverage="0" equalAverage="0" bottom="0" percent="0" rank="0" text="" dxfId="2">
      <formula>ISNUMBER(SEARCH("ELIGIBLE",D17))</formula>
    </cfRule>
    <cfRule type="expression" priority="186" aboveAverage="0" equalAverage="0" bottom="0" percent="0" rank="0" text="" dxfId="2">
      <formula>ISNUMBER(SEARCH("SHIP",D17))</formula>
    </cfRule>
    <cfRule type="expression" priority="187" aboveAverage="0" equalAverage="0" bottom="0" percent="0" rank="0" text="" dxfId="2">
      <formula>ISNUMBER(SEARCH("ON TARGET",D17))</formula>
    </cfRule>
    <cfRule type="expression" priority="188" aboveAverage="0" equalAverage="0" bottom="0" percent="0" rank="0" text="" dxfId="2">
      <formula>ISNUMBER(SEARCH("ON TRACK",D17))</formula>
    </cfRule>
    <cfRule type="expression" priority="189" aboveAverage="0" equalAverage="0" bottom="0" percent="0" rank="0" text="" dxfId="2">
      <formula>ISNUMBER(SEARCH("RESOLVED",D17))</formula>
    </cfRule>
    <cfRule type="expression" priority="190" aboveAverage="0" equalAverage="0" bottom="0" percent="0" rank="0" text="" dxfId="2">
      <formula>ISNUMBER(SEARCH("OK",D17))</formula>
    </cfRule>
    <cfRule type="expression" priority="191" aboveAverage="0" equalAverage="0" bottom="0" percent="0" rank="0" text="" dxfId="2">
      <formula>ISNUMBER(SEARCH("MATCH",D17))</formula>
    </cfRule>
    <cfRule type="expression" priority="192" aboveAverage="0" equalAverage="0" bottom="0" percent="0" rank="0" text="" dxfId="2">
      <formula>ISNUMBER(SEARCH("SOUND",D17))</formula>
    </cfRule>
    <cfRule type="expression" priority="193" aboveAverage="0" equalAverage="0" bottom="0" percent="0" rank="0" text="" dxfId="2">
      <formula>ISNUMBER(SEARCH("WITHIN",D17))</formula>
    </cfRule>
    <cfRule type="expression" priority="194" aboveAverage="0" equalAverage="0" bottom="0" percent="0" rank="0" text="" dxfId="2">
      <formula>ISNUMBER(SEARCH("DONE",D17))</formula>
    </cfRule>
    <cfRule type="expression" priority="195" aboveAverage="0" equalAverage="0" bottom="0" percent="0" rank="0" text="" dxfId="2">
      <formula>ISNUMBER(SEARCH("SIGNED",D17))</formula>
    </cfRule>
    <cfRule type="expression" priority="196" aboveAverage="0" equalAverage="0" bottom="0" percent="0" rank="0" text="" dxfId="2">
      <formula>ISNUMBER(SEARCH("✓",D17))</formula>
    </cfRule>
    <cfRule type="expression" priority="197" aboveAverage="0" equalAverage="0" bottom="0" percent="0" rank="0" text="" dxfId="2">
      <formula>ISNUMBER(SEARCH("KEEP",D17))</formula>
    </cfRule>
    <cfRule type="expression" priority="198" aboveAverage="0" equalAverage="0" bottom="0" percent="0" rank="0" text="" dxfId="2">
      <formula>ISNUMBER(SEARCH("DEV-READY",D17))</formula>
    </cfRule>
    <cfRule type="expression" priority="199" aboveAverage="0" equalAverage="0" bottom="0" percent="0" rank="0" text="" dxfId="2">
      <formula>ISNUMBER(SEARCH("GREW",D17))</formula>
    </cfRule>
    <cfRule type="expression" priority="200" aboveAverage="0" equalAverage="0" bottom="0" percent="0" rank="0" text="" dxfId="2">
      <formula>ISNUMBER(SEARCH("HIT",D17))</formula>
    </cfRule>
    <cfRule type="expression" priority="201" aboveAverage="0" equalAverage="0" bottom="0" percent="0" rank="0" text="" dxfId="2">
      <formula>ISNUMBER(SEARCH("CORRECT",D17))</formula>
    </cfRule>
    <cfRule type="expression" priority="202" aboveAverage="0" equalAverage="0" bottom="0" percent="0" rank="0" text="" dxfId="2">
      <formula>ISNUMBER(SEARCH("STAY",D17))</formula>
    </cfRule>
  </conditionalFormatting>
  <dataValidations count="5">
    <dataValidation allowBlank="true" errorStyle="stop" operator="between" showDropDown="false" showErrorMessage="false" showInputMessage="false" sqref="D6:D12" type="list">
      <formula1>"Commercial,Legal / compliance,Technical w/ commercial consequence,Pure technical"</formula1>
      <formula2>0</formula2>
    </dataValidation>
    <dataValidation allowBlank="true" errorStyle="stop" operator="between" showDropDown="false" showErrorMessage="false" showInputMessage="false" sqref="G6:G12" type="list">
      <formula1>"P1,P2,P3,P4,Production"</formula1>
      <formula2>0</formula2>
    </dataValidation>
    <dataValidation allowBlank="true" errorStyle="stop" operator="between" showDropDown="false" showErrorMessage="false" showInputMessage="false" sqref="J6:J12" type="list">
      <formula1>"YES,NO"</formula1>
      <formula2>0</formula2>
    </dataValidation>
    <dataValidation allowBlank="true" errorStyle="stop" operator="between" showDropDown="false" showErrorMessage="false" showInputMessage="false" sqref="K6:K12" type="list">
      <formula1>"Open,Resolved"</formula1>
      <formula2>0</formula2>
    </dataValidation>
    <dataValidation allowBlank="true" errorStyle="stop" operator="between" showDropDown="false" showErrorMessage="false" showInputMessage="false" sqref="D17:D1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F4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62"/>
    <col collapsed="false" customWidth="true" hidden="false" outlineLevel="0" max="4" min="4" style="1" width="13"/>
    <col collapsed="false" customWidth="true" hidden="false" outlineLevel="0" max="5" min="5" style="1" width="15"/>
    <col collapsed="false" customWidth="true" hidden="false" outlineLevel="0" max="6" min="6" style="1" width="44"/>
    <col collapsed="false" customWidth="true" hidden="false" outlineLevel="0" max="7" min="7" style="1" width="14"/>
    <col collapsed="false" customWidth="true" hidden="false" outlineLevel="0" max="8" min="8" style="1" width="12"/>
    <col collapsed="false" customWidth="true" hidden="false" outlineLevel="0" max="9" min="9" style="1" width="40"/>
  </cols>
  <sheetData>
    <row r="1" customFormat="false" ht="18" hidden="false" customHeight="true" outlineLevel="0" collapsed="false">
      <c r="A1" s="7" t="s">
        <v>272</v>
      </c>
    </row>
    <row r="2" customFormat="false" ht="15" hidden="false" customHeight="true" outlineLevel="0" collapsed="false">
      <c r="A2" s="8" t="s">
        <v>273</v>
      </c>
      <c r="G2" s="15" t="s">
        <v>51</v>
      </c>
      <c r="H2" s="13" t="str">
        <f aca="false">IF(COUNTIFS(D7:D22,"YES",E7:E22,"&lt;&gt;DONE")=0,"PASS","HOLD")</f>
        <v>HOLD</v>
      </c>
      <c r="I2" s="14" t="str">
        <f aca="false">TEXT(COUNTIF(E7:E22,"DONE")/COUNTIF(E7:E22,"&lt;&gt;N-A"),"0%")&amp;" ready · "&amp;COUNTIFS(D7:D22,"YES",E7:E22,"&lt;&gt;DONE")&amp;" mandatory item(s) open"</f>
        <v>19% ready · 11 mandatory item(s) open</v>
      </c>
    </row>
    <row r="4" customFormat="false" ht="15" hidden="false" customHeight="true" outlineLevel="0" collapsed="false">
      <c r="B4" s="9" t="s">
        <v>274</v>
      </c>
      <c r="C4" s="13" t="str">
        <f aca="false">TEXT(COUNTIF(E7:E22,"DONE")/COUNTIF(E7:E22,"&lt;&gt;N-A"),"0%")&amp;" of applicable items DONE"</f>
        <v>19% of applicable items DONE</v>
      </c>
      <c r="E4" s="9" t="s">
        <v>275</v>
      </c>
      <c r="F4" s="13" t="str">
        <f aca="false">IF(COUNTIFS(D7:D22,"YES",E7:E22,"&lt;&gt;DONE")=0,"GO","NO-GO — "&amp;COUNTIFS(D7:D22,"YES",E7:E22,"&lt;&gt;DONE")&amp;" mandatory item(s) open")</f>
        <v>NO-GO — 11 mandatory item(s) open</v>
      </c>
    </row>
    <row r="6" customFormat="false" ht="15" hidden="false" customHeight="true" outlineLevel="0" collapsed="false">
      <c r="B6" s="11" t="s">
        <v>276</v>
      </c>
      <c r="C6" s="11" t="s">
        <v>277</v>
      </c>
      <c r="D6" s="11" t="s">
        <v>278</v>
      </c>
      <c r="E6" s="11" t="s">
        <v>123</v>
      </c>
      <c r="F6" s="11" t="s">
        <v>279</v>
      </c>
    </row>
    <row r="7" customFormat="false" ht="25.5" hidden="false" customHeight="true" outlineLevel="0" collapsed="false">
      <c r="B7" s="12" t="s">
        <v>280</v>
      </c>
      <c r="C7" s="6" t="s">
        <v>281</v>
      </c>
      <c r="D7" s="6" t="s">
        <v>79</v>
      </c>
      <c r="E7" s="24" t="s">
        <v>282</v>
      </c>
      <c r="F7" s="10" t="s">
        <v>283</v>
      </c>
    </row>
    <row r="8" customFormat="false" ht="25.5" hidden="false" customHeight="true" outlineLevel="0" collapsed="false">
      <c r="B8" s="12" t="s">
        <v>280</v>
      </c>
      <c r="C8" s="6" t="s">
        <v>284</v>
      </c>
      <c r="D8" s="6" t="s">
        <v>79</v>
      </c>
      <c r="E8" s="24" t="s">
        <v>285</v>
      </c>
      <c r="F8" s="10" t="s">
        <v>286</v>
      </c>
    </row>
    <row r="9" customFormat="false" ht="25.5" hidden="false" customHeight="true" outlineLevel="0" collapsed="false">
      <c r="B9" s="12" t="s">
        <v>280</v>
      </c>
      <c r="C9" s="6" t="s">
        <v>287</v>
      </c>
      <c r="D9" s="6" t="s">
        <v>79</v>
      </c>
      <c r="E9" s="24" t="s">
        <v>288</v>
      </c>
      <c r="F9" s="10" t="s">
        <v>289</v>
      </c>
    </row>
    <row r="10" customFormat="false" ht="25.5" hidden="false" customHeight="true" outlineLevel="0" collapsed="false">
      <c r="B10" s="12" t="s">
        <v>290</v>
      </c>
      <c r="C10" s="6" t="s">
        <v>291</v>
      </c>
      <c r="D10" s="6" t="s">
        <v>79</v>
      </c>
      <c r="E10" s="24" t="s">
        <v>285</v>
      </c>
      <c r="F10" s="10" t="s">
        <v>292</v>
      </c>
    </row>
    <row r="11" customFormat="false" ht="25.5" hidden="false" customHeight="true" outlineLevel="0" collapsed="false">
      <c r="B11" s="12" t="s">
        <v>290</v>
      </c>
      <c r="C11" s="6" t="s">
        <v>293</v>
      </c>
      <c r="D11" s="6" t="s">
        <v>79</v>
      </c>
      <c r="E11" s="24" t="s">
        <v>282</v>
      </c>
      <c r="F11" s="10" t="s">
        <v>294</v>
      </c>
    </row>
    <row r="12" customFormat="false" ht="25.5" hidden="false" customHeight="true" outlineLevel="0" collapsed="false">
      <c r="B12" s="12" t="s">
        <v>295</v>
      </c>
      <c r="C12" s="6" t="s">
        <v>296</v>
      </c>
      <c r="D12" s="6" t="s">
        <v>79</v>
      </c>
      <c r="E12" s="24" t="s">
        <v>288</v>
      </c>
      <c r="F12" s="10" t="s">
        <v>297</v>
      </c>
    </row>
    <row r="13" customFormat="false" ht="25.5" hidden="false" customHeight="true" outlineLevel="0" collapsed="false">
      <c r="B13" s="12" t="s">
        <v>295</v>
      </c>
      <c r="C13" s="6" t="s">
        <v>298</v>
      </c>
      <c r="D13" s="6" t="s">
        <v>79</v>
      </c>
      <c r="E13" s="24" t="s">
        <v>282</v>
      </c>
      <c r="F13" s="10" t="s">
        <v>299</v>
      </c>
    </row>
    <row r="14" customFormat="false" ht="25.5" hidden="false" customHeight="true" outlineLevel="0" collapsed="false">
      <c r="B14" s="12" t="s">
        <v>295</v>
      </c>
      <c r="C14" s="6" t="s">
        <v>300</v>
      </c>
      <c r="D14" s="6" t="s">
        <v>79</v>
      </c>
      <c r="E14" s="24" t="s">
        <v>285</v>
      </c>
      <c r="F14" s="10" t="s">
        <v>301</v>
      </c>
    </row>
    <row r="15" customFormat="false" ht="25.5" hidden="false" customHeight="true" outlineLevel="0" collapsed="false">
      <c r="B15" s="12" t="s">
        <v>248</v>
      </c>
      <c r="C15" s="6" t="s">
        <v>302</v>
      </c>
      <c r="D15" s="6" t="s">
        <v>79</v>
      </c>
      <c r="E15" s="24" t="s">
        <v>282</v>
      </c>
      <c r="F15" s="10" t="s">
        <v>303</v>
      </c>
    </row>
    <row r="16" customFormat="false" ht="25.5" hidden="false" customHeight="true" outlineLevel="0" collapsed="false">
      <c r="B16" s="12" t="s">
        <v>248</v>
      </c>
      <c r="C16" s="6" t="s">
        <v>304</v>
      </c>
      <c r="D16" s="6" t="s">
        <v>79</v>
      </c>
      <c r="E16" s="24" t="s">
        <v>282</v>
      </c>
      <c r="F16" s="10" t="s">
        <v>305</v>
      </c>
    </row>
    <row r="17" customFormat="false" ht="25.5" hidden="false" customHeight="true" outlineLevel="0" collapsed="false">
      <c r="B17" s="12" t="s">
        <v>306</v>
      </c>
      <c r="C17" s="6" t="s">
        <v>307</v>
      </c>
      <c r="D17" s="6" t="s">
        <v>79</v>
      </c>
      <c r="E17" s="24" t="s">
        <v>288</v>
      </c>
      <c r="F17" s="10" t="s">
        <v>308</v>
      </c>
    </row>
    <row r="18" customFormat="false" ht="25.5" hidden="false" customHeight="true" outlineLevel="0" collapsed="false">
      <c r="B18" s="12" t="s">
        <v>306</v>
      </c>
      <c r="C18" s="6" t="s">
        <v>309</v>
      </c>
      <c r="D18" s="6" t="s">
        <v>79</v>
      </c>
      <c r="E18" s="24" t="s">
        <v>288</v>
      </c>
      <c r="F18" s="10" t="s">
        <v>310</v>
      </c>
    </row>
    <row r="19" customFormat="false" ht="25.5" hidden="false" customHeight="true" outlineLevel="0" collapsed="false">
      <c r="B19" s="12" t="s">
        <v>311</v>
      </c>
      <c r="C19" s="6" t="s">
        <v>312</v>
      </c>
      <c r="D19" s="6" t="s">
        <v>79</v>
      </c>
      <c r="E19" s="24" t="s">
        <v>288</v>
      </c>
      <c r="F19" s="10" t="s">
        <v>313</v>
      </c>
    </row>
    <row r="20" customFormat="false" ht="25.5" hidden="false" customHeight="true" outlineLevel="0" collapsed="false">
      <c r="B20" s="12" t="s">
        <v>311</v>
      </c>
      <c r="C20" s="6" t="s">
        <v>314</v>
      </c>
      <c r="D20" s="6" t="s">
        <v>86</v>
      </c>
      <c r="E20" s="24" t="s">
        <v>282</v>
      </c>
      <c r="F20" s="10" t="s">
        <v>315</v>
      </c>
    </row>
    <row r="21" customFormat="false" ht="25.5" hidden="false" customHeight="true" outlineLevel="0" collapsed="false">
      <c r="B21" s="12" t="s">
        <v>316</v>
      </c>
      <c r="C21" s="6" t="s">
        <v>317</v>
      </c>
      <c r="D21" s="6" t="s">
        <v>86</v>
      </c>
      <c r="E21" s="24" t="s">
        <v>282</v>
      </c>
      <c r="F21" s="10" t="s">
        <v>318</v>
      </c>
    </row>
    <row r="22" customFormat="false" ht="25.5" hidden="false" customHeight="true" outlineLevel="0" collapsed="false">
      <c r="B22" s="12" t="s">
        <v>319</v>
      </c>
      <c r="C22" s="6" t="s">
        <v>320</v>
      </c>
      <c r="D22" s="6" t="s">
        <v>79</v>
      </c>
      <c r="E22" s="24" t="s">
        <v>282</v>
      </c>
      <c r="F22" s="10" t="s">
        <v>321</v>
      </c>
    </row>
    <row r="23" customFormat="false" ht="15" hidden="false" customHeight="true" outlineLevel="0" collapsed="false">
      <c r="B23" s="16" t="s">
        <v>322</v>
      </c>
      <c r="C23" s="16"/>
      <c r="D23" s="16"/>
      <c r="E23" s="16"/>
      <c r="F23" s="16"/>
    </row>
  </sheetData>
  <mergeCells count="1">
    <mergeCell ref="B23:F23"/>
  </mergeCells>
  <conditionalFormatting sqref="H2">
    <cfRule type="expression" priority="2" aboveAverage="0" equalAverage="0" bottom="0" percent="0" rank="0" text="" dxfId="0">
      <formula>ISNUMBER(SEARCH("NO-GO",H2))</formula>
    </cfRule>
    <cfRule type="expression" priority="3" aboveAverage="0" equalAverage="0" bottom="0" percent="0" rank="0" text="" dxfId="0">
      <formula>ISNUMBER(SEARCH("HOLD",H2))</formula>
    </cfRule>
    <cfRule type="expression" priority="4" aboveAverage="0" equalAverage="0" bottom="0" percent="0" rank="0" text="" dxfId="0">
      <formula>ISNUMBER(SEARCH("KILL",H2))</formula>
    </cfRule>
    <cfRule type="expression" priority="5" aboveAverage="0" equalAverage="0" bottom="0" percent="0" rank="0" text="" dxfId="0">
      <formula>ISNUMBER(SEARCH("BLOCKED",H2))</formula>
    </cfRule>
    <cfRule type="expression" priority="6" aboveAverage="0" equalAverage="0" bottom="0" percent="0" rank="0" text="" dxfId="0">
      <formula>ISNUMBER(SEARCH("INVALID",H2))</formula>
    </cfRule>
    <cfRule type="expression" priority="7" aboveAverage="0" equalAverage="0" bottom="0" percent="0" rank="0" text="" dxfId="0">
      <formula>ISNUMBER(SEARCH("VIOLATION",H2))</formula>
    </cfRule>
    <cfRule type="expression" priority="8" aboveAverage="0" equalAverage="0" bottom="0" percent="0" rank="0" text="" dxfId="0">
      <formula>ISNUMBER(SEARCH("UNDER-SLACKED",H2))</formula>
    </cfRule>
    <cfRule type="expression" priority="9" aboveAverage="0" equalAverage="0" bottom="0" percent="0" rank="0" text="" dxfId="0">
      <formula>ISNUMBER(SEARCH("NOT YET",H2))</formula>
    </cfRule>
    <cfRule type="expression" priority="10" aboveAverage="0" equalAverage="0" bottom="0" percent="0" rank="0" text="" dxfId="0">
      <formula>ISNUMBER(SEARCH("HALF",H2))</formula>
    </cfRule>
    <cfRule type="expression" priority="11" aboveAverage="0" equalAverage="0" bottom="0" percent="0" rank="0" text="" dxfId="0">
      <formula>ISNUMBER(SEARCH("INCOMPLETE",H2))</formula>
    </cfRule>
    <cfRule type="expression" priority="12" aboveAverage="0" equalAverage="0" bottom="0" percent="0" rank="0" text="" dxfId="0">
      <formula>ISNUMBER(SEARCH("ALERT",H2))</formula>
    </cfRule>
    <cfRule type="expression" priority="13" aboveAverage="0" equalAverage="0" bottom="0" percent="0" rank="0" text="" dxfId="0">
      <formula>ISNUMBER(SEARCH("BELOW",H2))</formula>
    </cfRule>
    <cfRule type="expression" priority="14" aboveAverage="0" equalAverage="0" bottom="0" percent="0" rank="0" text="" dxfId="0">
      <formula>ISNUMBER(SEARCH("FAIL",H2))</formula>
    </cfRule>
    <cfRule type="expression" priority="15" aboveAverage="0" equalAverage="0" bottom="0" percent="0" rank="0" text="" dxfId="0">
      <formula>ISNUMBER(SEARCH("STAGNANT",H2))</formula>
    </cfRule>
    <cfRule type="expression" priority="16" aboveAverage="0" equalAverage="0" bottom="0" percent="0" rank="0" text="" dxfId="0">
      <formula>ISNUMBER(SEARCH("MISSING",H2))</formula>
    </cfRule>
    <cfRule type="expression" priority="17" aboveAverage="0" equalAverage="0" bottom="0" percent="0" rank="0" text="" dxfId="0">
      <formula>ISNUMBER(SEARCH("PLANTED",H2))</formula>
    </cfRule>
    <cfRule type="expression" priority="18" aboveAverage="0" equalAverage="0" bottom="0" percent="0" rank="0" text="" dxfId="0">
      <formula>ISNUMBER(SEARCH("WRITE WITHOUT",H2))</formula>
    </cfRule>
    <cfRule type="expression" priority="19" aboveAverage="0" equalAverage="0" bottom="0" percent="0" rank="0" text="" dxfId="0">
      <formula>ISNUMBER(SEARCH("CHALLENGE",H2))</formula>
    </cfRule>
    <cfRule type="expression" priority="20" aboveAverage="0" equalAverage="0" bottom="0" percent="0" rank="0" text="" dxfId="0">
      <formula>ISNUMBER(SEARCH("NOT STARTED",H2))</formula>
    </cfRule>
    <cfRule type="expression" priority="21" aboveAverage="0" equalAverage="0" bottom="0" percent="0" rank="0" text="" dxfId="0">
      <formula>ISNUMBER(SEARCH("DISCUSS",H2))</formula>
    </cfRule>
    <cfRule type="expression" priority="22" aboveAverage="0" equalAverage="0" bottom="0" percent="0" rank="0" text="" dxfId="0">
      <formula>ISNUMBER(SEARCH("UNSIGNED",H2))</formula>
    </cfRule>
    <cfRule type="expression" priority="23" aboveAverage="0" equalAverage="0" bottom="0" percent="0" rank="0" text="" dxfId="0">
      <formula>ISNUMBER(SEARCH("FALSE ALARM",H2))</formula>
    </cfRule>
    <cfRule type="expression" priority="24" aboveAverage="0" equalAverage="0" bottom="0" percent="0" rank="0" text="" dxfId="0">
      <formula>ISNUMBER(SEARCH("MISSED",H2))</formula>
    </cfRule>
    <cfRule type="expression" priority="25" aboveAverage="0" equalAverage="0" bottom="0" percent="0" rank="0" text="" dxfId="0">
      <formula>ISNUMBER(SEARCH("COSTUME",H2))</formula>
    </cfRule>
    <cfRule type="expression" priority="26" aboveAverage="0" equalAverage="0" bottom="0" percent="0" rank="0" text="" dxfId="0">
      <formula>ISNUMBER(SEARCH("PROMISE WITHOUT",H2))</formula>
    </cfRule>
    <cfRule type="expression" priority="27" aboveAverage="0" equalAverage="0" bottom="0" percent="0" rank="0" text="" dxfId="1">
      <formula>ISNUMBER(SEARCH("BORDERLINE",H2))</formula>
    </cfRule>
    <cfRule type="expression" priority="28" aboveAverage="0" equalAverage="0" bottom="0" percent="0" rank="0" text="" dxfId="1">
      <formula>ISNUMBER(SEARCH("WORKFLOW",H2))</formula>
    </cfRule>
    <cfRule type="expression" priority="29" aboveAverage="0" equalAverage="0" bottom="0" percent="0" rank="0" text="" dxfId="1">
      <formula>ISNUMBER(SEARCH("PENDING",H2))</formula>
    </cfRule>
    <cfRule type="expression" priority="30" aboveAverage="0" equalAverage="0" bottom="0" percent="0" rank="0" text="" dxfId="1">
      <formula>ISNUMBER(SEARCH("ADVISORY",H2))</formula>
    </cfRule>
    <cfRule type="expression" priority="31" aboveAverage="0" equalAverage="0" bottom="0" percent="0" rank="0" text="" dxfId="1">
      <formula>ISNUMBER(SEARCH("ABOVE",H2))</formula>
    </cfRule>
    <cfRule type="expression" priority="32" aboveAverage="0" equalAverage="0" bottom="0" percent="0" rank="0" text="" dxfId="1">
      <formula>ISNUMBER(SEARCH("TUNE",H2))</formula>
    </cfRule>
    <cfRule type="expression" priority="33" aboveAverage="0" equalAverage="0" bottom="0" percent="0" rank="0" text="" dxfId="1">
      <formula>ISNUMBER(SEARCH("REVIEW",H2))</formula>
    </cfRule>
    <cfRule type="expression" priority="34" aboveAverage="0" equalAverage="0" bottom="0" percent="0" rank="0" text="" dxfId="1">
      <formula>ISNUMBER(SEARCH("DECIDE",H2))</formula>
    </cfRule>
    <cfRule type="expression" priority="35" aboveAverage="0" equalAverage="0" bottom="0" percent="0" rank="0" text="" dxfId="1">
      <formula>ISNUMBER(SEARCH("IN PROGRESS",H2))</formula>
    </cfRule>
    <cfRule type="expression" priority="36" aboveAverage="0" equalAverage="0" bottom="0" percent="0" rank="0" text="" dxfId="1">
      <formula>ISNUMBER(SEARCH("PARTIAL",H2))</formula>
    </cfRule>
    <cfRule type="expression" priority="37" aboveAverage="0" equalAverage="0" bottom="0" percent="0" rank="0" text="" dxfId="1">
      <formula>ISNUMBER(SEARCH("NO DATA",H2))</formula>
    </cfRule>
    <cfRule type="expression" priority="38" aboveAverage="0" equalAverage="0" bottom="0" percent="0" rank="0" text="" dxfId="1">
      <formula>ISNUMBER(SEARCH("NOT RUN",H2))</formula>
    </cfRule>
    <cfRule type="expression" priority="39" aboveAverage="0" equalAverage="0" bottom="0" percent="0" rank="0" text="" dxfId="1">
      <formula>ISNUMBER(SEARCH("EVALUATE",H2))</formula>
    </cfRule>
    <cfRule type="expression" priority="40" aboveAverage="0" equalAverage="0" bottom="0" percent="0" rank="0" text="" dxfId="1">
      <formula>ISNUMBER(SEARCH("TIGHTEN",H2))</formula>
    </cfRule>
    <cfRule type="expression" priority="41" aboveAverage="0" equalAverage="0" bottom="0" percent="0" rank="0" text="" dxfId="1">
      <formula>ISNUMBER(SEARCH("LOOSEN",H2))</formula>
    </cfRule>
    <cfRule type="expression" priority="42" aboveAverage="0" equalAverage="0" bottom="0" percent="0" rank="0" text="" dxfId="1">
      <formula>ISNUMBER(SEARCH("WEAK",H2))</formula>
    </cfRule>
    <cfRule type="expression" priority="43" aboveAverage="0" equalAverage="0" bottom="0" percent="0" rank="0" text="" dxfId="1">
      <formula>ISNUMBER(SEARCH("ADJACENT",H2))</formula>
    </cfRule>
    <cfRule type="expression" priority="44" aboveAverage="0" equalAverage="0" bottom="0" percent="0" rank="0" text="" dxfId="1">
      <formula>ISNUMBER(SEARCH("GAPS",H2))</formula>
    </cfRule>
    <cfRule type="expression" priority="45" aboveAverage="0" equalAverage="0" bottom="0" percent="0" rank="0" text="" dxfId="1">
      <formula>ISNUMBER(SEARCH("ADD ONE",H2))</formula>
    </cfRule>
    <cfRule type="expression" priority="46" aboveAverage="0" equalAverage="0" bottom="0" percent="0" rank="0" text="" dxfId="1">
      <formula>ISNUMBER(SEARCH("⚠",H2))</formula>
    </cfRule>
    <cfRule type="expression" priority="47" aboveAverage="0" equalAverage="0" bottom="0" percent="0" rank="0" text="" dxfId="2">
      <formula>ISNUMBER(SEARCH("PASS",H2))</formula>
    </cfRule>
    <cfRule type="expression" priority="48" aboveAverage="0" equalAverage="0" bottom="0" percent="0" rank="0" text="" dxfId="2">
      <formula>ISNUMBER(SEARCH("GO",H2))</formula>
    </cfRule>
    <cfRule type="expression" priority="49" aboveAverage="0" equalAverage="0" bottom="0" percent="0" rank="0" text="" dxfId="2">
      <formula>ISNUMBER(SEARCH("BUILD",H2))</formula>
    </cfRule>
    <cfRule type="expression" priority="50" aboveAverage="0" equalAverage="0" bottom="0" percent="0" rank="0" text="" dxfId="2">
      <formula>ISNUMBER(SEARCH("COMPLETE",H2))</formula>
    </cfRule>
    <cfRule type="expression" priority="51" aboveAverage="0" equalAverage="0" bottom="0" percent="0" rank="0" text="" dxfId="2">
      <formula>ISNUMBER(SEARCH("ELIGIBLE",H2))</formula>
    </cfRule>
    <cfRule type="expression" priority="52" aboveAverage="0" equalAverage="0" bottom="0" percent="0" rank="0" text="" dxfId="2">
      <formula>ISNUMBER(SEARCH("SHIP",H2))</formula>
    </cfRule>
    <cfRule type="expression" priority="53" aboveAverage="0" equalAverage="0" bottom="0" percent="0" rank="0" text="" dxfId="2">
      <formula>ISNUMBER(SEARCH("ON TARGET",H2))</formula>
    </cfRule>
    <cfRule type="expression" priority="54" aboveAverage="0" equalAverage="0" bottom="0" percent="0" rank="0" text="" dxfId="2">
      <formula>ISNUMBER(SEARCH("ON TRACK",H2))</formula>
    </cfRule>
    <cfRule type="expression" priority="55" aboveAverage="0" equalAverage="0" bottom="0" percent="0" rank="0" text="" dxfId="2">
      <formula>ISNUMBER(SEARCH("RESOLVED",H2))</formula>
    </cfRule>
    <cfRule type="expression" priority="56" aboveAverage="0" equalAverage="0" bottom="0" percent="0" rank="0" text="" dxfId="2">
      <formula>ISNUMBER(SEARCH("OK",H2))</formula>
    </cfRule>
    <cfRule type="expression" priority="57" aboveAverage="0" equalAverage="0" bottom="0" percent="0" rank="0" text="" dxfId="2">
      <formula>ISNUMBER(SEARCH("MATCH",H2))</formula>
    </cfRule>
    <cfRule type="expression" priority="58" aboveAverage="0" equalAverage="0" bottom="0" percent="0" rank="0" text="" dxfId="2">
      <formula>ISNUMBER(SEARCH("SOUND",H2))</formula>
    </cfRule>
    <cfRule type="expression" priority="59" aboveAverage="0" equalAverage="0" bottom="0" percent="0" rank="0" text="" dxfId="2">
      <formula>ISNUMBER(SEARCH("WITHIN",H2))</formula>
    </cfRule>
    <cfRule type="expression" priority="60" aboveAverage="0" equalAverage="0" bottom="0" percent="0" rank="0" text="" dxfId="2">
      <formula>ISNUMBER(SEARCH("DONE",H2))</formula>
    </cfRule>
    <cfRule type="expression" priority="61" aboveAverage="0" equalAverage="0" bottom="0" percent="0" rank="0" text="" dxfId="2">
      <formula>ISNUMBER(SEARCH("SIGNED",H2))</formula>
    </cfRule>
    <cfRule type="expression" priority="62" aboveAverage="0" equalAverage="0" bottom="0" percent="0" rank="0" text="" dxfId="2">
      <formula>ISNUMBER(SEARCH("✓",H2))</formula>
    </cfRule>
    <cfRule type="expression" priority="63" aboveAverage="0" equalAverage="0" bottom="0" percent="0" rank="0" text="" dxfId="2">
      <formula>ISNUMBER(SEARCH("KEEP",H2))</formula>
    </cfRule>
    <cfRule type="expression" priority="64" aboveAverage="0" equalAverage="0" bottom="0" percent="0" rank="0" text="" dxfId="2">
      <formula>ISNUMBER(SEARCH("DEV-READY",H2))</formula>
    </cfRule>
    <cfRule type="expression" priority="65" aboveAverage="0" equalAverage="0" bottom="0" percent="0" rank="0" text="" dxfId="2">
      <formula>ISNUMBER(SEARCH("GREW",H2))</formula>
    </cfRule>
    <cfRule type="expression" priority="66" aboveAverage="0" equalAverage="0" bottom="0" percent="0" rank="0" text="" dxfId="2">
      <formula>ISNUMBER(SEARCH("HIT",H2))</formula>
    </cfRule>
    <cfRule type="expression" priority="67" aboveAverage="0" equalAverage="0" bottom="0" percent="0" rank="0" text="" dxfId="2">
      <formula>ISNUMBER(SEARCH("CORRECT",H2))</formula>
    </cfRule>
    <cfRule type="expression" priority="68" aboveAverage="0" equalAverage="0" bottom="0" percent="0" rank="0" text="" dxfId="2">
      <formula>ISNUMBER(SEARCH("STAY",H2))</formula>
    </cfRule>
  </conditionalFormatting>
  <conditionalFormatting sqref="F4">
    <cfRule type="expression" priority="69" aboveAverage="0" equalAverage="0" bottom="0" percent="0" rank="0" text="" dxfId="0">
      <formula>ISNUMBER(SEARCH("NO-GO",F4))</formula>
    </cfRule>
    <cfRule type="expression" priority="70" aboveAverage="0" equalAverage="0" bottom="0" percent="0" rank="0" text="" dxfId="0">
      <formula>ISNUMBER(SEARCH("HOLD",F4))</formula>
    </cfRule>
    <cfRule type="expression" priority="71" aboveAverage="0" equalAverage="0" bottom="0" percent="0" rank="0" text="" dxfId="0">
      <formula>ISNUMBER(SEARCH("KILL",F4))</formula>
    </cfRule>
    <cfRule type="expression" priority="72" aboveAverage="0" equalAverage="0" bottom="0" percent="0" rank="0" text="" dxfId="0">
      <formula>ISNUMBER(SEARCH("BLOCKED",F4))</formula>
    </cfRule>
    <cfRule type="expression" priority="73" aboveAverage="0" equalAverage="0" bottom="0" percent="0" rank="0" text="" dxfId="0">
      <formula>ISNUMBER(SEARCH("INVALID",F4))</formula>
    </cfRule>
    <cfRule type="expression" priority="74" aboveAverage="0" equalAverage="0" bottom="0" percent="0" rank="0" text="" dxfId="0">
      <formula>ISNUMBER(SEARCH("VIOLATION",F4))</formula>
    </cfRule>
    <cfRule type="expression" priority="75" aboveAverage="0" equalAverage="0" bottom="0" percent="0" rank="0" text="" dxfId="0">
      <formula>ISNUMBER(SEARCH("UNDER-SLACKED",F4))</formula>
    </cfRule>
    <cfRule type="expression" priority="76" aboveAverage="0" equalAverage="0" bottom="0" percent="0" rank="0" text="" dxfId="0">
      <formula>ISNUMBER(SEARCH("NOT YET",F4))</formula>
    </cfRule>
    <cfRule type="expression" priority="77" aboveAverage="0" equalAverage="0" bottom="0" percent="0" rank="0" text="" dxfId="0">
      <formula>ISNUMBER(SEARCH("HALF",F4))</formula>
    </cfRule>
    <cfRule type="expression" priority="78" aboveAverage="0" equalAverage="0" bottom="0" percent="0" rank="0" text="" dxfId="0">
      <formula>ISNUMBER(SEARCH("INCOMPLETE",F4))</formula>
    </cfRule>
    <cfRule type="expression" priority="79" aboveAverage="0" equalAverage="0" bottom="0" percent="0" rank="0" text="" dxfId="0">
      <formula>ISNUMBER(SEARCH("ALERT",F4))</formula>
    </cfRule>
    <cfRule type="expression" priority="80" aboveAverage="0" equalAverage="0" bottom="0" percent="0" rank="0" text="" dxfId="0">
      <formula>ISNUMBER(SEARCH("BELOW",F4))</formula>
    </cfRule>
    <cfRule type="expression" priority="81" aboveAverage="0" equalAverage="0" bottom="0" percent="0" rank="0" text="" dxfId="0">
      <formula>ISNUMBER(SEARCH("FAIL",F4))</formula>
    </cfRule>
    <cfRule type="expression" priority="82" aboveAverage="0" equalAverage="0" bottom="0" percent="0" rank="0" text="" dxfId="0">
      <formula>ISNUMBER(SEARCH("STAGNANT",F4))</formula>
    </cfRule>
    <cfRule type="expression" priority="83" aboveAverage="0" equalAverage="0" bottom="0" percent="0" rank="0" text="" dxfId="0">
      <formula>ISNUMBER(SEARCH("MISSING",F4))</formula>
    </cfRule>
    <cfRule type="expression" priority="84" aboveAverage="0" equalAverage="0" bottom="0" percent="0" rank="0" text="" dxfId="0">
      <formula>ISNUMBER(SEARCH("PLANTED",F4))</formula>
    </cfRule>
    <cfRule type="expression" priority="85" aboveAverage="0" equalAverage="0" bottom="0" percent="0" rank="0" text="" dxfId="0">
      <formula>ISNUMBER(SEARCH("WRITE WITHOUT",F4))</formula>
    </cfRule>
    <cfRule type="expression" priority="86" aboveAverage="0" equalAverage="0" bottom="0" percent="0" rank="0" text="" dxfId="0">
      <formula>ISNUMBER(SEARCH("CHALLENGE",F4))</formula>
    </cfRule>
    <cfRule type="expression" priority="87" aboveAverage="0" equalAverage="0" bottom="0" percent="0" rank="0" text="" dxfId="0">
      <formula>ISNUMBER(SEARCH("NOT STARTED",F4))</formula>
    </cfRule>
    <cfRule type="expression" priority="88" aboveAverage="0" equalAverage="0" bottom="0" percent="0" rank="0" text="" dxfId="0">
      <formula>ISNUMBER(SEARCH("DISCUSS",F4))</formula>
    </cfRule>
    <cfRule type="expression" priority="89" aboveAverage="0" equalAverage="0" bottom="0" percent="0" rank="0" text="" dxfId="0">
      <formula>ISNUMBER(SEARCH("UNSIGNED",F4))</formula>
    </cfRule>
    <cfRule type="expression" priority="90" aboveAverage="0" equalAverage="0" bottom="0" percent="0" rank="0" text="" dxfId="0">
      <formula>ISNUMBER(SEARCH("FALSE ALARM",F4))</formula>
    </cfRule>
    <cfRule type="expression" priority="91" aboveAverage="0" equalAverage="0" bottom="0" percent="0" rank="0" text="" dxfId="0">
      <formula>ISNUMBER(SEARCH("MISSED",F4))</formula>
    </cfRule>
    <cfRule type="expression" priority="92" aboveAverage="0" equalAverage="0" bottom="0" percent="0" rank="0" text="" dxfId="0">
      <formula>ISNUMBER(SEARCH("COSTUME",F4))</formula>
    </cfRule>
    <cfRule type="expression" priority="93" aboveAverage="0" equalAverage="0" bottom="0" percent="0" rank="0" text="" dxfId="0">
      <formula>ISNUMBER(SEARCH("PROMISE WITHOUT",F4))</formula>
    </cfRule>
    <cfRule type="expression" priority="94" aboveAverage="0" equalAverage="0" bottom="0" percent="0" rank="0" text="" dxfId="1">
      <formula>ISNUMBER(SEARCH("BORDERLINE",F4))</formula>
    </cfRule>
    <cfRule type="expression" priority="95" aboveAverage="0" equalAverage="0" bottom="0" percent="0" rank="0" text="" dxfId="1">
      <formula>ISNUMBER(SEARCH("WORKFLOW",F4))</formula>
    </cfRule>
    <cfRule type="expression" priority="96" aboveAverage="0" equalAverage="0" bottom="0" percent="0" rank="0" text="" dxfId="1">
      <formula>ISNUMBER(SEARCH("PENDING",F4))</formula>
    </cfRule>
    <cfRule type="expression" priority="97" aboveAverage="0" equalAverage="0" bottom="0" percent="0" rank="0" text="" dxfId="1">
      <formula>ISNUMBER(SEARCH("ADVISORY",F4))</formula>
    </cfRule>
    <cfRule type="expression" priority="98" aboveAverage="0" equalAverage="0" bottom="0" percent="0" rank="0" text="" dxfId="1">
      <formula>ISNUMBER(SEARCH("ABOVE",F4))</formula>
    </cfRule>
    <cfRule type="expression" priority="99" aboveAverage="0" equalAverage="0" bottom="0" percent="0" rank="0" text="" dxfId="1">
      <formula>ISNUMBER(SEARCH("TUNE",F4))</formula>
    </cfRule>
    <cfRule type="expression" priority="100" aboveAverage="0" equalAverage="0" bottom="0" percent="0" rank="0" text="" dxfId="1">
      <formula>ISNUMBER(SEARCH("REVIEW",F4))</formula>
    </cfRule>
    <cfRule type="expression" priority="101" aboveAverage="0" equalAverage="0" bottom="0" percent="0" rank="0" text="" dxfId="1">
      <formula>ISNUMBER(SEARCH("DECIDE",F4))</formula>
    </cfRule>
    <cfRule type="expression" priority="102" aboveAverage="0" equalAverage="0" bottom="0" percent="0" rank="0" text="" dxfId="1">
      <formula>ISNUMBER(SEARCH("IN PROGRESS",F4))</formula>
    </cfRule>
    <cfRule type="expression" priority="103" aboveAverage="0" equalAverage="0" bottom="0" percent="0" rank="0" text="" dxfId="1">
      <formula>ISNUMBER(SEARCH("PARTIAL",F4))</formula>
    </cfRule>
    <cfRule type="expression" priority="104" aboveAverage="0" equalAverage="0" bottom="0" percent="0" rank="0" text="" dxfId="1">
      <formula>ISNUMBER(SEARCH("NO DATA",F4))</formula>
    </cfRule>
    <cfRule type="expression" priority="105" aboveAverage="0" equalAverage="0" bottom="0" percent="0" rank="0" text="" dxfId="1">
      <formula>ISNUMBER(SEARCH("NOT RUN",F4))</formula>
    </cfRule>
    <cfRule type="expression" priority="106" aboveAverage="0" equalAverage="0" bottom="0" percent="0" rank="0" text="" dxfId="1">
      <formula>ISNUMBER(SEARCH("EVALUATE",F4))</formula>
    </cfRule>
    <cfRule type="expression" priority="107" aboveAverage="0" equalAverage="0" bottom="0" percent="0" rank="0" text="" dxfId="1">
      <formula>ISNUMBER(SEARCH("TIGHTEN",F4))</formula>
    </cfRule>
    <cfRule type="expression" priority="108" aboveAverage="0" equalAverage="0" bottom="0" percent="0" rank="0" text="" dxfId="1">
      <formula>ISNUMBER(SEARCH("LOOSEN",F4))</formula>
    </cfRule>
    <cfRule type="expression" priority="109" aboveAverage="0" equalAverage="0" bottom="0" percent="0" rank="0" text="" dxfId="1">
      <formula>ISNUMBER(SEARCH("WEAK",F4))</formula>
    </cfRule>
    <cfRule type="expression" priority="110" aboveAverage="0" equalAverage="0" bottom="0" percent="0" rank="0" text="" dxfId="1">
      <formula>ISNUMBER(SEARCH("ADJACENT",F4))</formula>
    </cfRule>
    <cfRule type="expression" priority="111" aboveAverage="0" equalAverage="0" bottom="0" percent="0" rank="0" text="" dxfId="1">
      <formula>ISNUMBER(SEARCH("GAPS",F4))</formula>
    </cfRule>
    <cfRule type="expression" priority="112" aboveAverage="0" equalAverage="0" bottom="0" percent="0" rank="0" text="" dxfId="1">
      <formula>ISNUMBER(SEARCH("ADD ONE",F4))</formula>
    </cfRule>
    <cfRule type="expression" priority="113" aboveAverage="0" equalAverage="0" bottom="0" percent="0" rank="0" text="" dxfId="1">
      <formula>ISNUMBER(SEARCH("⚠",F4))</formula>
    </cfRule>
    <cfRule type="expression" priority="114" aboveAverage="0" equalAverage="0" bottom="0" percent="0" rank="0" text="" dxfId="2">
      <formula>ISNUMBER(SEARCH("PASS",F4))</formula>
    </cfRule>
    <cfRule type="expression" priority="115" aboveAverage="0" equalAverage="0" bottom="0" percent="0" rank="0" text="" dxfId="2">
      <formula>ISNUMBER(SEARCH("GO",F4))</formula>
    </cfRule>
    <cfRule type="expression" priority="116" aboveAverage="0" equalAverage="0" bottom="0" percent="0" rank="0" text="" dxfId="2">
      <formula>ISNUMBER(SEARCH("BUILD",F4))</formula>
    </cfRule>
    <cfRule type="expression" priority="117" aboveAverage="0" equalAverage="0" bottom="0" percent="0" rank="0" text="" dxfId="2">
      <formula>ISNUMBER(SEARCH("COMPLETE",F4))</formula>
    </cfRule>
    <cfRule type="expression" priority="118" aboveAverage="0" equalAverage="0" bottom="0" percent="0" rank="0" text="" dxfId="2">
      <formula>ISNUMBER(SEARCH("ELIGIBLE",F4))</formula>
    </cfRule>
    <cfRule type="expression" priority="119" aboveAverage="0" equalAverage="0" bottom="0" percent="0" rank="0" text="" dxfId="2">
      <formula>ISNUMBER(SEARCH("SHIP",F4))</formula>
    </cfRule>
    <cfRule type="expression" priority="120" aboveAverage="0" equalAverage="0" bottom="0" percent="0" rank="0" text="" dxfId="2">
      <formula>ISNUMBER(SEARCH("ON TARGET",F4))</formula>
    </cfRule>
    <cfRule type="expression" priority="121" aboveAverage="0" equalAverage="0" bottom="0" percent="0" rank="0" text="" dxfId="2">
      <formula>ISNUMBER(SEARCH("ON TRACK",F4))</formula>
    </cfRule>
    <cfRule type="expression" priority="122" aboveAverage="0" equalAverage="0" bottom="0" percent="0" rank="0" text="" dxfId="2">
      <formula>ISNUMBER(SEARCH("RESOLVED",F4))</formula>
    </cfRule>
    <cfRule type="expression" priority="123" aboveAverage="0" equalAverage="0" bottom="0" percent="0" rank="0" text="" dxfId="2">
      <formula>ISNUMBER(SEARCH("OK",F4))</formula>
    </cfRule>
    <cfRule type="expression" priority="124" aboveAverage="0" equalAverage="0" bottom="0" percent="0" rank="0" text="" dxfId="2">
      <formula>ISNUMBER(SEARCH("MATCH",F4))</formula>
    </cfRule>
    <cfRule type="expression" priority="125" aboveAverage="0" equalAverage="0" bottom="0" percent="0" rank="0" text="" dxfId="2">
      <formula>ISNUMBER(SEARCH("SOUND",F4))</formula>
    </cfRule>
    <cfRule type="expression" priority="126" aboveAverage="0" equalAverage="0" bottom="0" percent="0" rank="0" text="" dxfId="2">
      <formula>ISNUMBER(SEARCH("WITHIN",F4))</formula>
    </cfRule>
    <cfRule type="expression" priority="127" aboveAverage="0" equalAverage="0" bottom="0" percent="0" rank="0" text="" dxfId="2">
      <formula>ISNUMBER(SEARCH("DONE",F4))</formula>
    </cfRule>
    <cfRule type="expression" priority="128" aboveAverage="0" equalAverage="0" bottom="0" percent="0" rank="0" text="" dxfId="2">
      <formula>ISNUMBER(SEARCH("SIGNED",F4))</formula>
    </cfRule>
    <cfRule type="expression" priority="129" aboveAverage="0" equalAverage="0" bottom="0" percent="0" rank="0" text="" dxfId="2">
      <formula>ISNUMBER(SEARCH("✓",F4))</formula>
    </cfRule>
    <cfRule type="expression" priority="130" aboveAverage="0" equalAverage="0" bottom="0" percent="0" rank="0" text="" dxfId="2">
      <formula>ISNUMBER(SEARCH("KEEP",F4))</formula>
    </cfRule>
    <cfRule type="expression" priority="131" aboveAverage="0" equalAverage="0" bottom="0" percent="0" rank="0" text="" dxfId="2">
      <formula>ISNUMBER(SEARCH("DEV-READY",F4))</formula>
    </cfRule>
    <cfRule type="expression" priority="132" aboveAverage="0" equalAverage="0" bottom="0" percent="0" rank="0" text="" dxfId="2">
      <formula>ISNUMBER(SEARCH("GREW",F4))</formula>
    </cfRule>
    <cfRule type="expression" priority="133" aboveAverage="0" equalAverage="0" bottom="0" percent="0" rank="0" text="" dxfId="2">
      <formula>ISNUMBER(SEARCH("HIT",F4))</formula>
    </cfRule>
    <cfRule type="expression" priority="134" aboveAverage="0" equalAverage="0" bottom="0" percent="0" rank="0" text="" dxfId="2">
      <formula>ISNUMBER(SEARCH("CORRECT",F4))</formula>
    </cfRule>
    <cfRule type="expression" priority="135" aboveAverage="0" equalAverage="0" bottom="0" percent="0" rank="0" text="" dxfId="2">
      <formula>ISNUMBER(SEARCH("STAY",F4))</formula>
    </cfRule>
  </conditionalFormatting>
  <conditionalFormatting sqref="E7:E22">
    <cfRule type="expression" priority="136" aboveAverage="0" equalAverage="0" bottom="0" percent="0" rank="0" text="" dxfId="0">
      <formula>ISNUMBER(SEARCH("NO-GO",E7))</formula>
    </cfRule>
    <cfRule type="expression" priority="137" aboveAverage="0" equalAverage="0" bottom="0" percent="0" rank="0" text="" dxfId="0">
      <formula>ISNUMBER(SEARCH("HOLD",E7))</formula>
    </cfRule>
    <cfRule type="expression" priority="138" aboveAverage="0" equalAverage="0" bottom="0" percent="0" rank="0" text="" dxfId="0">
      <formula>ISNUMBER(SEARCH("KILL",E7))</formula>
    </cfRule>
    <cfRule type="expression" priority="139" aboveAverage="0" equalAverage="0" bottom="0" percent="0" rank="0" text="" dxfId="0">
      <formula>ISNUMBER(SEARCH("BLOCKED",E7))</formula>
    </cfRule>
    <cfRule type="expression" priority="140" aboveAverage="0" equalAverage="0" bottom="0" percent="0" rank="0" text="" dxfId="0">
      <formula>ISNUMBER(SEARCH("INVALID",E7))</formula>
    </cfRule>
    <cfRule type="expression" priority="141" aboveAverage="0" equalAverage="0" bottom="0" percent="0" rank="0" text="" dxfId="0">
      <formula>ISNUMBER(SEARCH("VIOLATION",E7))</formula>
    </cfRule>
    <cfRule type="expression" priority="142" aboveAverage="0" equalAverage="0" bottom="0" percent="0" rank="0" text="" dxfId="0">
      <formula>ISNUMBER(SEARCH("UNDER-SLACKED",E7))</formula>
    </cfRule>
    <cfRule type="expression" priority="143" aboveAverage="0" equalAverage="0" bottom="0" percent="0" rank="0" text="" dxfId="0">
      <formula>ISNUMBER(SEARCH("NOT YET",E7))</formula>
    </cfRule>
    <cfRule type="expression" priority="144" aboveAverage="0" equalAverage="0" bottom="0" percent="0" rank="0" text="" dxfId="0">
      <formula>ISNUMBER(SEARCH("HALF",E7))</formula>
    </cfRule>
    <cfRule type="expression" priority="145" aboveAverage="0" equalAverage="0" bottom="0" percent="0" rank="0" text="" dxfId="0">
      <formula>ISNUMBER(SEARCH("INCOMPLETE",E7))</formula>
    </cfRule>
    <cfRule type="expression" priority="146" aboveAverage="0" equalAverage="0" bottom="0" percent="0" rank="0" text="" dxfId="0">
      <formula>ISNUMBER(SEARCH("ALERT",E7))</formula>
    </cfRule>
    <cfRule type="expression" priority="147" aboveAverage="0" equalAverage="0" bottom="0" percent="0" rank="0" text="" dxfId="0">
      <formula>ISNUMBER(SEARCH("BELOW",E7))</formula>
    </cfRule>
    <cfRule type="expression" priority="148" aboveAverage="0" equalAverage="0" bottom="0" percent="0" rank="0" text="" dxfId="0">
      <formula>ISNUMBER(SEARCH("FAIL",E7))</formula>
    </cfRule>
    <cfRule type="expression" priority="149" aboveAverage="0" equalAverage="0" bottom="0" percent="0" rank="0" text="" dxfId="0">
      <formula>ISNUMBER(SEARCH("STAGNANT",E7))</formula>
    </cfRule>
    <cfRule type="expression" priority="150" aboveAverage="0" equalAverage="0" bottom="0" percent="0" rank="0" text="" dxfId="0">
      <formula>ISNUMBER(SEARCH("MISSING",E7))</formula>
    </cfRule>
    <cfRule type="expression" priority="151" aboveAverage="0" equalAverage="0" bottom="0" percent="0" rank="0" text="" dxfId="0">
      <formula>ISNUMBER(SEARCH("PLANTED",E7))</formula>
    </cfRule>
    <cfRule type="expression" priority="152" aboveAverage="0" equalAverage="0" bottom="0" percent="0" rank="0" text="" dxfId="0">
      <formula>ISNUMBER(SEARCH("WRITE WITHOUT",E7))</formula>
    </cfRule>
    <cfRule type="expression" priority="153" aboveAverage="0" equalAverage="0" bottom="0" percent="0" rank="0" text="" dxfId="0">
      <formula>ISNUMBER(SEARCH("CHALLENGE",E7))</formula>
    </cfRule>
    <cfRule type="expression" priority="154" aboveAverage="0" equalAverage="0" bottom="0" percent="0" rank="0" text="" dxfId="0">
      <formula>ISNUMBER(SEARCH("NOT STARTED",E7))</formula>
    </cfRule>
    <cfRule type="expression" priority="155" aboveAverage="0" equalAverage="0" bottom="0" percent="0" rank="0" text="" dxfId="0">
      <formula>ISNUMBER(SEARCH("DISCUSS",E7))</formula>
    </cfRule>
    <cfRule type="expression" priority="156" aboveAverage="0" equalAverage="0" bottom="0" percent="0" rank="0" text="" dxfId="0">
      <formula>ISNUMBER(SEARCH("UNSIGNED",E7))</formula>
    </cfRule>
    <cfRule type="expression" priority="157" aboveAverage="0" equalAverage="0" bottom="0" percent="0" rank="0" text="" dxfId="0">
      <formula>ISNUMBER(SEARCH("FALSE ALARM",E7))</formula>
    </cfRule>
    <cfRule type="expression" priority="158" aboveAverage="0" equalAverage="0" bottom="0" percent="0" rank="0" text="" dxfId="0">
      <formula>ISNUMBER(SEARCH("MISSED",E7))</formula>
    </cfRule>
    <cfRule type="expression" priority="159" aboveAverage="0" equalAverage="0" bottom="0" percent="0" rank="0" text="" dxfId="0">
      <formula>ISNUMBER(SEARCH("COSTUME",E7))</formula>
    </cfRule>
    <cfRule type="expression" priority="160" aboveAverage="0" equalAverage="0" bottom="0" percent="0" rank="0" text="" dxfId="0">
      <formula>ISNUMBER(SEARCH("PROMISE WITHOUT",E7))</formula>
    </cfRule>
    <cfRule type="expression" priority="161" aboveAverage="0" equalAverage="0" bottom="0" percent="0" rank="0" text="" dxfId="1">
      <formula>ISNUMBER(SEARCH("BORDERLINE",E7))</formula>
    </cfRule>
    <cfRule type="expression" priority="162" aboveAverage="0" equalAverage="0" bottom="0" percent="0" rank="0" text="" dxfId="1">
      <formula>ISNUMBER(SEARCH("WORKFLOW",E7))</formula>
    </cfRule>
    <cfRule type="expression" priority="163" aboveAverage="0" equalAverage="0" bottom="0" percent="0" rank="0" text="" dxfId="1">
      <formula>ISNUMBER(SEARCH("PENDING",E7))</formula>
    </cfRule>
    <cfRule type="expression" priority="164" aboveAverage="0" equalAverage="0" bottom="0" percent="0" rank="0" text="" dxfId="1">
      <formula>ISNUMBER(SEARCH("ADVISORY",E7))</formula>
    </cfRule>
    <cfRule type="expression" priority="165" aboveAverage="0" equalAverage="0" bottom="0" percent="0" rank="0" text="" dxfId="1">
      <formula>ISNUMBER(SEARCH("ABOVE",E7))</formula>
    </cfRule>
    <cfRule type="expression" priority="166" aboveAverage="0" equalAverage="0" bottom="0" percent="0" rank="0" text="" dxfId="1">
      <formula>ISNUMBER(SEARCH("TUNE",E7))</formula>
    </cfRule>
    <cfRule type="expression" priority="167" aboveAverage="0" equalAverage="0" bottom="0" percent="0" rank="0" text="" dxfId="1">
      <formula>ISNUMBER(SEARCH("REVIEW",E7))</formula>
    </cfRule>
    <cfRule type="expression" priority="168" aboveAverage="0" equalAverage="0" bottom="0" percent="0" rank="0" text="" dxfId="1">
      <formula>ISNUMBER(SEARCH("DECIDE",E7))</formula>
    </cfRule>
    <cfRule type="expression" priority="169" aboveAverage="0" equalAverage="0" bottom="0" percent="0" rank="0" text="" dxfId="1">
      <formula>ISNUMBER(SEARCH("IN PROGRESS",E7))</formula>
    </cfRule>
    <cfRule type="expression" priority="170" aboveAverage="0" equalAverage="0" bottom="0" percent="0" rank="0" text="" dxfId="1">
      <formula>ISNUMBER(SEARCH("PARTIAL",E7))</formula>
    </cfRule>
    <cfRule type="expression" priority="171" aboveAverage="0" equalAverage="0" bottom="0" percent="0" rank="0" text="" dxfId="1">
      <formula>ISNUMBER(SEARCH("NO DATA",E7))</formula>
    </cfRule>
    <cfRule type="expression" priority="172" aboveAverage="0" equalAverage="0" bottom="0" percent="0" rank="0" text="" dxfId="1">
      <formula>ISNUMBER(SEARCH("NOT RUN",E7))</formula>
    </cfRule>
    <cfRule type="expression" priority="173" aboveAverage="0" equalAverage="0" bottom="0" percent="0" rank="0" text="" dxfId="1">
      <formula>ISNUMBER(SEARCH("EVALUATE",E7))</formula>
    </cfRule>
    <cfRule type="expression" priority="174" aboveAverage="0" equalAverage="0" bottom="0" percent="0" rank="0" text="" dxfId="1">
      <formula>ISNUMBER(SEARCH("TIGHTEN",E7))</formula>
    </cfRule>
    <cfRule type="expression" priority="175" aboveAverage="0" equalAverage="0" bottom="0" percent="0" rank="0" text="" dxfId="1">
      <formula>ISNUMBER(SEARCH("LOOSEN",E7))</formula>
    </cfRule>
    <cfRule type="expression" priority="176" aboveAverage="0" equalAverage="0" bottom="0" percent="0" rank="0" text="" dxfId="1">
      <formula>ISNUMBER(SEARCH("WEAK",E7))</formula>
    </cfRule>
    <cfRule type="expression" priority="177" aboveAverage="0" equalAverage="0" bottom="0" percent="0" rank="0" text="" dxfId="1">
      <formula>ISNUMBER(SEARCH("ADJACENT",E7))</formula>
    </cfRule>
    <cfRule type="expression" priority="178" aboveAverage="0" equalAverage="0" bottom="0" percent="0" rank="0" text="" dxfId="1">
      <formula>ISNUMBER(SEARCH("GAPS",E7))</formula>
    </cfRule>
    <cfRule type="expression" priority="179" aboveAverage="0" equalAverage="0" bottom="0" percent="0" rank="0" text="" dxfId="1">
      <formula>ISNUMBER(SEARCH("ADD ONE",E7))</formula>
    </cfRule>
    <cfRule type="expression" priority="180" aboveAverage="0" equalAverage="0" bottom="0" percent="0" rank="0" text="" dxfId="1">
      <formula>ISNUMBER(SEARCH("⚠",E7))</formula>
    </cfRule>
    <cfRule type="expression" priority="181" aboveAverage="0" equalAverage="0" bottom="0" percent="0" rank="0" text="" dxfId="2">
      <formula>ISNUMBER(SEARCH("PASS",E7))</formula>
    </cfRule>
    <cfRule type="expression" priority="182" aboveAverage="0" equalAverage="0" bottom="0" percent="0" rank="0" text="" dxfId="2">
      <formula>ISNUMBER(SEARCH("GO",E7))</formula>
    </cfRule>
    <cfRule type="expression" priority="183" aboveAverage="0" equalAverage="0" bottom="0" percent="0" rank="0" text="" dxfId="2">
      <formula>ISNUMBER(SEARCH("BUILD",E7))</formula>
    </cfRule>
    <cfRule type="expression" priority="184" aboveAverage="0" equalAverage="0" bottom="0" percent="0" rank="0" text="" dxfId="2">
      <formula>ISNUMBER(SEARCH("COMPLETE",E7))</formula>
    </cfRule>
    <cfRule type="expression" priority="185" aboveAverage="0" equalAverage="0" bottom="0" percent="0" rank="0" text="" dxfId="2">
      <formula>ISNUMBER(SEARCH("ELIGIBLE",E7))</formula>
    </cfRule>
    <cfRule type="expression" priority="186" aboveAverage="0" equalAverage="0" bottom="0" percent="0" rank="0" text="" dxfId="2">
      <formula>ISNUMBER(SEARCH("SHIP",E7))</formula>
    </cfRule>
    <cfRule type="expression" priority="187" aboveAverage="0" equalAverage="0" bottom="0" percent="0" rank="0" text="" dxfId="2">
      <formula>ISNUMBER(SEARCH("ON TARGET",E7))</formula>
    </cfRule>
    <cfRule type="expression" priority="188" aboveAverage="0" equalAverage="0" bottom="0" percent="0" rank="0" text="" dxfId="2">
      <formula>ISNUMBER(SEARCH("ON TRACK",E7))</formula>
    </cfRule>
    <cfRule type="expression" priority="189" aboveAverage="0" equalAverage="0" bottom="0" percent="0" rank="0" text="" dxfId="2">
      <formula>ISNUMBER(SEARCH("RESOLVED",E7))</formula>
    </cfRule>
    <cfRule type="expression" priority="190" aboveAverage="0" equalAverage="0" bottom="0" percent="0" rank="0" text="" dxfId="2">
      <formula>ISNUMBER(SEARCH("OK",E7))</formula>
    </cfRule>
    <cfRule type="expression" priority="191" aboveAverage="0" equalAverage="0" bottom="0" percent="0" rank="0" text="" dxfId="2">
      <formula>ISNUMBER(SEARCH("MATCH",E7))</formula>
    </cfRule>
    <cfRule type="expression" priority="192" aboveAverage="0" equalAverage="0" bottom="0" percent="0" rank="0" text="" dxfId="2">
      <formula>ISNUMBER(SEARCH("SOUND",E7))</formula>
    </cfRule>
    <cfRule type="expression" priority="193" aboveAverage="0" equalAverage="0" bottom="0" percent="0" rank="0" text="" dxfId="2">
      <formula>ISNUMBER(SEARCH("WITHIN",E7))</formula>
    </cfRule>
    <cfRule type="expression" priority="194" aboveAverage="0" equalAverage="0" bottom="0" percent="0" rank="0" text="" dxfId="2">
      <formula>ISNUMBER(SEARCH("DONE",E7))</formula>
    </cfRule>
    <cfRule type="expression" priority="195" aboveAverage="0" equalAverage="0" bottom="0" percent="0" rank="0" text="" dxfId="2">
      <formula>ISNUMBER(SEARCH("SIGNED",E7))</formula>
    </cfRule>
    <cfRule type="expression" priority="196" aboveAverage="0" equalAverage="0" bottom="0" percent="0" rank="0" text="" dxfId="2">
      <formula>ISNUMBER(SEARCH("✓",E7))</formula>
    </cfRule>
    <cfRule type="expression" priority="197" aboveAverage="0" equalAverage="0" bottom="0" percent="0" rank="0" text="" dxfId="2">
      <formula>ISNUMBER(SEARCH("KEEP",E7))</formula>
    </cfRule>
    <cfRule type="expression" priority="198" aboveAverage="0" equalAverage="0" bottom="0" percent="0" rank="0" text="" dxfId="2">
      <formula>ISNUMBER(SEARCH("DEV-READY",E7))</formula>
    </cfRule>
    <cfRule type="expression" priority="199" aboveAverage="0" equalAverage="0" bottom="0" percent="0" rank="0" text="" dxfId="2">
      <formula>ISNUMBER(SEARCH("GREW",E7))</formula>
    </cfRule>
    <cfRule type="expression" priority="200" aboveAverage="0" equalAverage="0" bottom="0" percent="0" rank="0" text="" dxfId="2">
      <formula>ISNUMBER(SEARCH("HIT",E7))</formula>
    </cfRule>
    <cfRule type="expression" priority="201" aboveAverage="0" equalAverage="0" bottom="0" percent="0" rank="0" text="" dxfId="2">
      <formula>ISNUMBER(SEARCH("CORRECT",E7))</formula>
    </cfRule>
    <cfRule type="expression" priority="202" aboveAverage="0" equalAverage="0" bottom="0" percent="0" rank="0" text="" dxfId="2">
      <formula>ISNUMBER(SEARCH("STAY",E7))</formula>
    </cfRule>
  </conditionalFormatting>
  <dataValidations count="1">
    <dataValidation allowBlank="true" errorStyle="stop" operator="between" showDropDown="false" showErrorMessage="false" showInputMessage="false" sqref="E7:E22" type="list">
      <formula1>"DONE,IN PROGRESS,NOT STARTED,N-A"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F4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7" min="3" style="1" width="11"/>
    <col collapsed="false" customWidth="true" hidden="false" outlineLevel="0" max="8" min="8" style="1" width="8"/>
    <col collapsed="false" customWidth="true" hidden="false" outlineLevel="0" max="9" min="9" style="1" width="22"/>
    <col collapsed="false" customWidth="true" hidden="false" outlineLevel="0" max="10" min="10" style="1" width="36"/>
  </cols>
  <sheetData>
    <row r="1" customFormat="false" ht="18" hidden="false" customHeight="true" outlineLevel="0" collapsed="false">
      <c r="A1" s="7" t="s">
        <v>323</v>
      </c>
    </row>
    <row r="2" customFormat="false" ht="34.5" hidden="false" customHeight="true" outlineLevel="0" collapsed="false">
      <c r="A2" s="8" t="s">
        <v>324</v>
      </c>
      <c r="G2" s="15" t="s">
        <v>51</v>
      </c>
      <c r="H2" s="13" t="str">
        <f aca="false">IF(COUNTIF(D33:D35,"YES")=3,"PASS","HOLD")</f>
        <v>PASS</v>
      </c>
      <c r="I2" s="14" t="str">
        <f aca="false">"Containment "&amp;TEXT(F16,"0.0%")&amp;" · cost/success "&amp;TEXT(F20,"$0.000")&amp;" · suite "&amp;IF(D29=0,"STAGNANT","grew")</f>
        <v>Containment 85.1% · cost/success $29.091 · suite grew</v>
      </c>
    </row>
    <row r="4" customFormat="false" ht="15" hidden="false" customHeight="true" outlineLevel="0" collapsed="false">
      <c r="B4" s="4" t="s">
        <v>325</v>
      </c>
    </row>
    <row r="5" customFormat="false" ht="15" hidden="false" customHeight="true" outlineLevel="0" collapsed="false">
      <c r="B5" s="11" t="s">
        <v>326</v>
      </c>
      <c r="C5" s="11" t="s">
        <v>327</v>
      </c>
      <c r="D5" s="11" t="s">
        <v>328</v>
      </c>
      <c r="E5" s="11" t="s">
        <v>329</v>
      </c>
      <c r="F5" s="11" t="s">
        <v>330</v>
      </c>
    </row>
    <row r="6" customFormat="false" ht="15" hidden="false" customHeight="true" outlineLevel="0" collapsed="false">
      <c r="B6" s="12" t="s">
        <v>331</v>
      </c>
      <c r="C6" s="22" t="n">
        <v>700</v>
      </c>
      <c r="D6" s="22" t="n">
        <v>740</v>
      </c>
      <c r="E6" s="22" t="n">
        <v>760</v>
      </c>
      <c r="F6" s="22" t="n">
        <v>790</v>
      </c>
    </row>
    <row r="7" customFormat="false" ht="15" hidden="false" customHeight="true" outlineLevel="0" collapsed="false">
      <c r="B7" s="12" t="s">
        <v>332</v>
      </c>
      <c r="C7" s="22" t="n">
        <v>560</v>
      </c>
      <c r="D7" s="22" t="n">
        <v>605</v>
      </c>
      <c r="E7" s="22" t="n">
        <v>635</v>
      </c>
      <c r="F7" s="22" t="n">
        <v>672</v>
      </c>
    </row>
    <row r="8" customFormat="false" ht="15" hidden="false" customHeight="true" outlineLevel="0" collapsed="false">
      <c r="B8" s="12" t="s">
        <v>333</v>
      </c>
      <c r="C8" s="22" t="n">
        <v>90</v>
      </c>
      <c r="D8" s="22" t="n">
        <v>85</v>
      </c>
      <c r="E8" s="22" t="n">
        <v>78</v>
      </c>
      <c r="F8" s="22" t="n">
        <v>70</v>
      </c>
    </row>
    <row r="9" customFormat="false" ht="23.25" hidden="false" customHeight="true" outlineLevel="0" collapsed="false">
      <c r="B9" s="12" t="s">
        <v>334</v>
      </c>
      <c r="C9" s="22" t="n">
        <v>75</v>
      </c>
      <c r="D9" s="22" t="n">
        <v>73</v>
      </c>
      <c r="E9" s="22" t="n">
        <v>69</v>
      </c>
      <c r="F9" s="22" t="n">
        <v>64</v>
      </c>
    </row>
    <row r="10" customFormat="false" ht="15" hidden="false" customHeight="true" outlineLevel="0" collapsed="false">
      <c r="B10" s="12" t="s">
        <v>335</v>
      </c>
      <c r="C10" s="22" t="n">
        <v>45</v>
      </c>
      <c r="D10" s="22" t="n">
        <v>48</v>
      </c>
      <c r="E10" s="22" t="n">
        <v>41</v>
      </c>
      <c r="F10" s="22" t="n">
        <v>38</v>
      </c>
    </row>
    <row r="11" customFormat="false" ht="15" hidden="false" customHeight="true" outlineLevel="0" collapsed="false">
      <c r="B11" s="12" t="s">
        <v>336</v>
      </c>
      <c r="C11" s="22" t="n">
        <v>14</v>
      </c>
      <c r="D11" s="22" t="n">
        <v>11</v>
      </c>
      <c r="E11" s="22" t="n">
        <v>7</v>
      </c>
      <c r="F11" s="22" t="n">
        <v>5</v>
      </c>
    </row>
    <row r="12" customFormat="false" ht="15" hidden="false" customHeight="true" outlineLevel="0" collapsed="false">
      <c r="B12" s="12" t="s">
        <v>337</v>
      </c>
      <c r="C12" s="22" t="n">
        <v>545</v>
      </c>
      <c r="D12" s="22" t="n">
        <v>592</v>
      </c>
      <c r="E12" s="22" t="n">
        <v>622</v>
      </c>
      <c r="F12" s="22" t="n">
        <v>660</v>
      </c>
    </row>
    <row r="13" customFormat="false" ht="15" hidden="false" customHeight="true" outlineLevel="0" collapsed="false">
      <c r="B13" s="12" t="s">
        <v>338</v>
      </c>
      <c r="C13" s="20" t="n">
        <v>21000</v>
      </c>
      <c r="D13" s="20" t="n">
        <v>20500</v>
      </c>
      <c r="E13" s="20" t="n">
        <v>19500</v>
      </c>
      <c r="F13" s="20" t="n">
        <v>19200</v>
      </c>
    </row>
    <row r="15" customFormat="false" ht="15" hidden="false" customHeight="true" outlineLevel="0" collapsed="false">
      <c r="B15" s="11" t="s">
        <v>339</v>
      </c>
      <c r="C15" s="11" t="s">
        <v>327</v>
      </c>
      <c r="D15" s="11" t="s">
        <v>328</v>
      </c>
      <c r="E15" s="11" t="s">
        <v>329</v>
      </c>
      <c r="F15" s="11" t="s">
        <v>330</v>
      </c>
      <c r="G15" s="11" t="s">
        <v>340</v>
      </c>
      <c r="H15" s="11" t="s">
        <v>341</v>
      </c>
      <c r="I15" s="11" t="s">
        <v>342</v>
      </c>
      <c r="J15" s="11" t="s">
        <v>343</v>
      </c>
    </row>
    <row r="16" customFormat="false" ht="25.5" hidden="false" customHeight="true" outlineLevel="0" collapsed="false">
      <c r="B16" s="12" t="s">
        <v>344</v>
      </c>
      <c r="C16" s="18" t="n">
        <f aca="false">C7/C6</f>
        <v>0.8</v>
      </c>
      <c r="D16" s="18" t="n">
        <f aca="false">D7/D6</f>
        <v>0.817567567567568</v>
      </c>
      <c r="E16" s="18" t="n">
        <f aca="false">E7/E6</f>
        <v>0.835526315789474</v>
      </c>
      <c r="F16" s="18" t="n">
        <f aca="false">F7/F6</f>
        <v>0.850632911392405</v>
      </c>
      <c r="G16" s="25" t="n">
        <v>0.65</v>
      </c>
      <c r="H16" s="10" t="s">
        <v>345</v>
      </c>
      <c r="I16" s="13" t="str">
        <f aca="false">IF(H16="≥",IF(F16&gt;=G16,"ON TARGET","BELOW TARGET"),IF(F16&lt;=G16,"ON TARGET","ABOVE TARGET"))</f>
        <v>ON TARGET</v>
      </c>
      <c r="J16" s="17" t="s">
        <v>346</v>
      </c>
    </row>
    <row r="17" customFormat="false" ht="25.5" hidden="false" customHeight="true" outlineLevel="0" collapsed="false">
      <c r="B17" s="12" t="s">
        <v>347</v>
      </c>
      <c r="C17" s="18" t="n">
        <f aca="false">IFERROR(C9/C8,"")</f>
        <v>0.833333333333333</v>
      </c>
      <c r="D17" s="18" t="n">
        <f aca="false">IFERROR(D9/D8,"")</f>
        <v>0.858823529411765</v>
      </c>
      <c r="E17" s="18" t="n">
        <f aca="false">IFERROR(E9/E8,"")</f>
        <v>0.884615384615385</v>
      </c>
      <c r="F17" s="18" t="n">
        <f aca="false">IFERROR(F9/F8,"")</f>
        <v>0.914285714285714</v>
      </c>
      <c r="G17" s="25" t="n">
        <v>0.85</v>
      </c>
      <c r="H17" s="10" t="s">
        <v>345</v>
      </c>
      <c r="I17" s="13" t="str">
        <f aca="false">IF(H17="≥",IF(F17&gt;=G17,"ON TARGET","BELOW TARGET"),IF(F17&lt;=G17,"ON TARGET","ABOVE TARGET"))</f>
        <v>ON TARGET</v>
      </c>
      <c r="J17" s="17" t="s">
        <v>348</v>
      </c>
    </row>
    <row r="18" customFormat="false" ht="25.5" hidden="false" customHeight="true" outlineLevel="0" collapsed="false">
      <c r="B18" s="12" t="s">
        <v>349</v>
      </c>
      <c r="C18" s="18" t="n">
        <f aca="false">IFERROR(C11/C10,"")</f>
        <v>0.311111111111111</v>
      </c>
      <c r="D18" s="18" t="n">
        <f aca="false">IFERROR(D11/D10,"")</f>
        <v>0.229166666666667</v>
      </c>
      <c r="E18" s="18" t="n">
        <f aca="false">IFERROR(E11/E10,"")</f>
        <v>0.170731707317073</v>
      </c>
      <c r="F18" s="18" t="n">
        <f aca="false">IFERROR(F11/F10,"")</f>
        <v>0.131578947368421</v>
      </c>
      <c r="G18" s="25" t="n">
        <v>0.15</v>
      </c>
      <c r="H18" s="10" t="s">
        <v>350</v>
      </c>
      <c r="I18" s="13" t="str">
        <f aca="false">IF(H18="≥",IF(F18&gt;=G18,"ON TARGET","BELOW TARGET"),IF(F18&lt;=G18,"ON TARGET","ABOVE TARGET"))</f>
        <v>ON TARGET</v>
      </c>
      <c r="J18" s="17" t="s">
        <v>351</v>
      </c>
    </row>
    <row r="19" customFormat="false" ht="25.5" hidden="false" customHeight="true" outlineLevel="0" collapsed="false">
      <c r="B19" s="12" t="s">
        <v>352</v>
      </c>
      <c r="C19" s="26" t="n">
        <f aca="false">C13/C6</f>
        <v>30</v>
      </c>
      <c r="D19" s="26" t="n">
        <f aca="false">D13/D6</f>
        <v>27.7027027027027</v>
      </c>
      <c r="E19" s="26" t="n">
        <f aca="false">E13/E6</f>
        <v>25.6578947368421</v>
      </c>
      <c r="F19" s="26" t="n">
        <f aca="false">F13/F6</f>
        <v>24.3037974683544</v>
      </c>
      <c r="G19" s="27" t="n">
        <v>25</v>
      </c>
      <c r="H19" s="10" t="s">
        <v>350</v>
      </c>
      <c r="I19" s="13" t="str">
        <f aca="false">IF(H19="≥",IF(F19&gt;=G19,"ON TARGET","BELOW TARGET"),IF(F19&lt;=G19,"ON TARGET","ABOVE TARGET"))</f>
        <v>ON TARGET</v>
      </c>
      <c r="J19" s="17" t="s">
        <v>353</v>
      </c>
    </row>
    <row r="20" customFormat="false" ht="25.5" hidden="false" customHeight="true" outlineLevel="0" collapsed="false">
      <c r="B20" s="12" t="s">
        <v>354</v>
      </c>
      <c r="C20" s="26" t="n">
        <f aca="false">C13/C12</f>
        <v>38.5321100917431</v>
      </c>
      <c r="D20" s="26" t="n">
        <f aca="false">D13/D12</f>
        <v>34.6283783783784</v>
      </c>
      <c r="E20" s="26" t="n">
        <f aca="false">E13/E12</f>
        <v>31.3504823151125</v>
      </c>
      <c r="F20" s="26" t="n">
        <f aca="false">F13/F12</f>
        <v>29.0909090909091</v>
      </c>
      <c r="G20" s="27" t="n">
        <v>30</v>
      </c>
      <c r="H20" s="10" t="s">
        <v>350</v>
      </c>
      <c r="I20" s="13" t="str">
        <f aca="false">IF(H20="≥",IF(F20&gt;=G20,"ON TARGET","BELOW TARGET"),IF(F20&lt;=G20,"ON TARGET","ABOVE TARGET"))</f>
        <v>ON TARGET</v>
      </c>
      <c r="J20" s="17" t="s">
        <v>355</v>
      </c>
    </row>
    <row r="23" customFormat="false" ht="15" hidden="false" customHeight="true" outlineLevel="0" collapsed="false">
      <c r="B23" s="4" t="s">
        <v>356</v>
      </c>
    </row>
    <row r="24" customFormat="false" ht="23.25" hidden="false" customHeight="true" outlineLevel="0" collapsed="false">
      <c r="B24" s="11" t="s">
        <v>357</v>
      </c>
      <c r="C24" s="11" t="s">
        <v>358</v>
      </c>
      <c r="D24" s="11" t="s">
        <v>359</v>
      </c>
      <c r="E24" s="11" t="s">
        <v>360</v>
      </c>
      <c r="F24" s="11" t="s">
        <v>361</v>
      </c>
      <c r="G24" s="11" t="s">
        <v>362</v>
      </c>
      <c r="H24" s="11" t="s">
        <v>222</v>
      </c>
    </row>
    <row r="25" customFormat="false" ht="15" hidden="false" customHeight="true" outlineLevel="0" collapsed="false">
      <c r="B25" s="12" t="s">
        <v>363</v>
      </c>
      <c r="C25" s="10" t="n">
        <v>12</v>
      </c>
      <c r="D25" s="10" t="n">
        <v>3</v>
      </c>
      <c r="E25" s="10" t="n">
        <v>0</v>
      </c>
      <c r="F25" s="14" t="n">
        <f aca="false">C25+D25-E25</f>
        <v>15</v>
      </c>
      <c r="G25" s="19" t="n">
        <v>0.95</v>
      </c>
      <c r="H25" s="13" t="str">
        <f aca="false">IF(D25=0,"SUITE STAGNANT — read the traces","GREW")</f>
        <v>GREW</v>
      </c>
    </row>
    <row r="26" customFormat="false" ht="15" hidden="false" customHeight="true" outlineLevel="0" collapsed="false">
      <c r="B26" s="12" t="s">
        <v>364</v>
      </c>
      <c r="C26" s="10" t="n">
        <v>15</v>
      </c>
      <c r="D26" s="10" t="n">
        <v>2</v>
      </c>
      <c r="E26" s="10" t="n">
        <v>1</v>
      </c>
      <c r="F26" s="14" t="n">
        <f aca="false">C26+D26-E26</f>
        <v>16</v>
      </c>
      <c r="G26" s="19" t="n">
        <v>0.96</v>
      </c>
      <c r="H26" s="13" t="str">
        <f aca="false">IF(D26=0,"SUITE STAGNANT — read the traces","GREW")</f>
        <v>GREW</v>
      </c>
    </row>
    <row r="27" customFormat="false" ht="15" hidden="false" customHeight="true" outlineLevel="0" collapsed="false">
      <c r="B27" s="12" t="s">
        <v>365</v>
      </c>
      <c r="C27" s="10" t="n">
        <v>16</v>
      </c>
      <c r="D27" s="10" t="n">
        <v>3</v>
      </c>
      <c r="E27" s="10" t="n">
        <v>0</v>
      </c>
      <c r="F27" s="14" t="n">
        <f aca="false">C27+D27-E27</f>
        <v>19</v>
      </c>
      <c r="G27" s="19" t="n">
        <v>0.97</v>
      </c>
      <c r="H27" s="13" t="str">
        <f aca="false">IF(D27=0,"SUITE STAGNANT — read the traces","GREW")</f>
        <v>GREW</v>
      </c>
    </row>
    <row r="28" customFormat="false" ht="23.25" hidden="false" customHeight="true" outlineLevel="0" collapsed="false">
      <c r="B28" s="16" t="s">
        <v>366</v>
      </c>
      <c r="C28" s="16"/>
      <c r="D28" s="16"/>
      <c r="E28" s="16"/>
      <c r="F28" s="16"/>
      <c r="G28" s="16"/>
      <c r="H28" s="16"/>
    </row>
    <row r="29" customFormat="false" ht="15" hidden="false" customHeight="true" outlineLevel="0" collapsed="false">
      <c r="B29" s="28" t="s">
        <v>367</v>
      </c>
      <c r="D29" s="14" t="n">
        <f aca="false">D27</f>
        <v>3</v>
      </c>
    </row>
    <row r="32" customFormat="false" ht="15" hidden="false" customHeight="true" outlineLevel="0" collapsed="false">
      <c r="B32" s="4" t="s">
        <v>368</v>
      </c>
    </row>
    <row r="33" customFormat="false" ht="45.75" hidden="false" customHeight="true" outlineLevel="0" collapsed="false">
      <c r="C33" s="6" t="s">
        <v>369</v>
      </c>
      <c r="D33" s="24" t="s">
        <v>79</v>
      </c>
    </row>
    <row r="34" customFormat="false" ht="34.5" hidden="false" customHeight="true" outlineLevel="0" collapsed="false">
      <c r="C34" s="6" t="s">
        <v>370</v>
      </c>
      <c r="D34" s="24" t="s">
        <v>79</v>
      </c>
    </row>
    <row r="35" customFormat="false" ht="68.25" hidden="false" customHeight="true" outlineLevel="0" collapsed="false">
      <c r="C35" s="6" t="s">
        <v>371</v>
      </c>
      <c r="D35" s="24" t="s">
        <v>79</v>
      </c>
    </row>
  </sheetData>
  <mergeCells count="1">
    <mergeCell ref="B28:H28"/>
  </mergeCells>
  <conditionalFormatting sqref="H2">
    <cfRule type="expression" priority="2" aboveAverage="0" equalAverage="0" bottom="0" percent="0" rank="0" text="" dxfId="0">
      <formula>ISNUMBER(SEARCH("NO-GO",H2))</formula>
    </cfRule>
    <cfRule type="expression" priority="3" aboveAverage="0" equalAverage="0" bottom="0" percent="0" rank="0" text="" dxfId="0">
      <formula>ISNUMBER(SEARCH("HOLD",H2))</formula>
    </cfRule>
    <cfRule type="expression" priority="4" aboveAverage="0" equalAverage="0" bottom="0" percent="0" rank="0" text="" dxfId="0">
      <formula>ISNUMBER(SEARCH("KILL",H2))</formula>
    </cfRule>
    <cfRule type="expression" priority="5" aboveAverage="0" equalAverage="0" bottom="0" percent="0" rank="0" text="" dxfId="0">
      <formula>ISNUMBER(SEARCH("BLOCKED",H2))</formula>
    </cfRule>
    <cfRule type="expression" priority="6" aboveAverage="0" equalAverage="0" bottom="0" percent="0" rank="0" text="" dxfId="0">
      <formula>ISNUMBER(SEARCH("INVALID",H2))</formula>
    </cfRule>
    <cfRule type="expression" priority="7" aboveAverage="0" equalAverage="0" bottom="0" percent="0" rank="0" text="" dxfId="0">
      <formula>ISNUMBER(SEARCH("VIOLATION",H2))</formula>
    </cfRule>
    <cfRule type="expression" priority="8" aboveAverage="0" equalAverage="0" bottom="0" percent="0" rank="0" text="" dxfId="0">
      <formula>ISNUMBER(SEARCH("UNDER-SLACKED",H2))</formula>
    </cfRule>
    <cfRule type="expression" priority="9" aboveAverage="0" equalAverage="0" bottom="0" percent="0" rank="0" text="" dxfId="0">
      <formula>ISNUMBER(SEARCH("NOT YET",H2))</formula>
    </cfRule>
    <cfRule type="expression" priority="10" aboveAverage="0" equalAverage="0" bottom="0" percent="0" rank="0" text="" dxfId="0">
      <formula>ISNUMBER(SEARCH("HALF",H2))</formula>
    </cfRule>
    <cfRule type="expression" priority="11" aboveAverage="0" equalAverage="0" bottom="0" percent="0" rank="0" text="" dxfId="0">
      <formula>ISNUMBER(SEARCH("INCOMPLETE",H2))</formula>
    </cfRule>
    <cfRule type="expression" priority="12" aboveAverage="0" equalAverage="0" bottom="0" percent="0" rank="0" text="" dxfId="0">
      <formula>ISNUMBER(SEARCH("ALERT",H2))</formula>
    </cfRule>
    <cfRule type="expression" priority="13" aboveAverage="0" equalAverage="0" bottom="0" percent="0" rank="0" text="" dxfId="0">
      <formula>ISNUMBER(SEARCH("BELOW",H2))</formula>
    </cfRule>
    <cfRule type="expression" priority="14" aboveAverage="0" equalAverage="0" bottom="0" percent="0" rank="0" text="" dxfId="0">
      <formula>ISNUMBER(SEARCH("FAIL",H2))</formula>
    </cfRule>
    <cfRule type="expression" priority="15" aboveAverage="0" equalAverage="0" bottom="0" percent="0" rank="0" text="" dxfId="0">
      <formula>ISNUMBER(SEARCH("STAGNANT",H2))</formula>
    </cfRule>
    <cfRule type="expression" priority="16" aboveAverage="0" equalAverage="0" bottom="0" percent="0" rank="0" text="" dxfId="0">
      <formula>ISNUMBER(SEARCH("MISSING",H2))</formula>
    </cfRule>
    <cfRule type="expression" priority="17" aboveAverage="0" equalAverage="0" bottom="0" percent="0" rank="0" text="" dxfId="0">
      <formula>ISNUMBER(SEARCH("PLANTED",H2))</formula>
    </cfRule>
    <cfRule type="expression" priority="18" aboveAverage="0" equalAverage="0" bottom="0" percent="0" rank="0" text="" dxfId="0">
      <formula>ISNUMBER(SEARCH("WRITE WITHOUT",H2))</formula>
    </cfRule>
    <cfRule type="expression" priority="19" aboveAverage="0" equalAverage="0" bottom="0" percent="0" rank="0" text="" dxfId="0">
      <formula>ISNUMBER(SEARCH("CHALLENGE",H2))</formula>
    </cfRule>
    <cfRule type="expression" priority="20" aboveAverage="0" equalAverage="0" bottom="0" percent="0" rank="0" text="" dxfId="0">
      <formula>ISNUMBER(SEARCH("NOT STARTED",H2))</formula>
    </cfRule>
    <cfRule type="expression" priority="21" aboveAverage="0" equalAverage="0" bottom="0" percent="0" rank="0" text="" dxfId="0">
      <formula>ISNUMBER(SEARCH("DISCUSS",H2))</formula>
    </cfRule>
    <cfRule type="expression" priority="22" aboveAverage="0" equalAverage="0" bottom="0" percent="0" rank="0" text="" dxfId="0">
      <formula>ISNUMBER(SEARCH("UNSIGNED",H2))</formula>
    </cfRule>
    <cfRule type="expression" priority="23" aboveAverage="0" equalAverage="0" bottom="0" percent="0" rank="0" text="" dxfId="0">
      <formula>ISNUMBER(SEARCH("FALSE ALARM",H2))</formula>
    </cfRule>
    <cfRule type="expression" priority="24" aboveAverage="0" equalAverage="0" bottom="0" percent="0" rank="0" text="" dxfId="0">
      <formula>ISNUMBER(SEARCH("MISSED",H2))</formula>
    </cfRule>
    <cfRule type="expression" priority="25" aboveAverage="0" equalAverage="0" bottom="0" percent="0" rank="0" text="" dxfId="0">
      <formula>ISNUMBER(SEARCH("COSTUME",H2))</formula>
    </cfRule>
    <cfRule type="expression" priority="26" aboveAverage="0" equalAverage="0" bottom="0" percent="0" rank="0" text="" dxfId="0">
      <formula>ISNUMBER(SEARCH("PROMISE WITHOUT",H2))</formula>
    </cfRule>
    <cfRule type="expression" priority="27" aboveAverage="0" equalAverage="0" bottom="0" percent="0" rank="0" text="" dxfId="1">
      <formula>ISNUMBER(SEARCH("BORDERLINE",H2))</formula>
    </cfRule>
    <cfRule type="expression" priority="28" aboveAverage="0" equalAverage="0" bottom="0" percent="0" rank="0" text="" dxfId="1">
      <formula>ISNUMBER(SEARCH("WORKFLOW",H2))</formula>
    </cfRule>
    <cfRule type="expression" priority="29" aboveAverage="0" equalAverage="0" bottom="0" percent="0" rank="0" text="" dxfId="1">
      <formula>ISNUMBER(SEARCH("PENDING",H2))</formula>
    </cfRule>
    <cfRule type="expression" priority="30" aboveAverage="0" equalAverage="0" bottom="0" percent="0" rank="0" text="" dxfId="1">
      <formula>ISNUMBER(SEARCH("ADVISORY",H2))</formula>
    </cfRule>
    <cfRule type="expression" priority="31" aboveAverage="0" equalAverage="0" bottom="0" percent="0" rank="0" text="" dxfId="1">
      <formula>ISNUMBER(SEARCH("ABOVE",H2))</formula>
    </cfRule>
    <cfRule type="expression" priority="32" aboveAverage="0" equalAverage="0" bottom="0" percent="0" rank="0" text="" dxfId="1">
      <formula>ISNUMBER(SEARCH("TUNE",H2))</formula>
    </cfRule>
    <cfRule type="expression" priority="33" aboveAverage="0" equalAverage="0" bottom="0" percent="0" rank="0" text="" dxfId="1">
      <formula>ISNUMBER(SEARCH("REVIEW",H2))</formula>
    </cfRule>
    <cfRule type="expression" priority="34" aboveAverage="0" equalAverage="0" bottom="0" percent="0" rank="0" text="" dxfId="1">
      <formula>ISNUMBER(SEARCH("DECIDE",H2))</formula>
    </cfRule>
    <cfRule type="expression" priority="35" aboveAverage="0" equalAverage="0" bottom="0" percent="0" rank="0" text="" dxfId="1">
      <formula>ISNUMBER(SEARCH("IN PROGRESS",H2))</formula>
    </cfRule>
    <cfRule type="expression" priority="36" aboveAverage="0" equalAverage="0" bottom="0" percent="0" rank="0" text="" dxfId="1">
      <formula>ISNUMBER(SEARCH("PARTIAL",H2))</formula>
    </cfRule>
    <cfRule type="expression" priority="37" aboveAverage="0" equalAverage="0" bottom="0" percent="0" rank="0" text="" dxfId="1">
      <formula>ISNUMBER(SEARCH("NO DATA",H2))</formula>
    </cfRule>
    <cfRule type="expression" priority="38" aboveAverage="0" equalAverage="0" bottom="0" percent="0" rank="0" text="" dxfId="1">
      <formula>ISNUMBER(SEARCH("NOT RUN",H2))</formula>
    </cfRule>
    <cfRule type="expression" priority="39" aboveAverage="0" equalAverage="0" bottom="0" percent="0" rank="0" text="" dxfId="1">
      <formula>ISNUMBER(SEARCH("EVALUATE",H2))</formula>
    </cfRule>
    <cfRule type="expression" priority="40" aboveAverage="0" equalAverage="0" bottom="0" percent="0" rank="0" text="" dxfId="1">
      <formula>ISNUMBER(SEARCH("TIGHTEN",H2))</formula>
    </cfRule>
    <cfRule type="expression" priority="41" aboveAverage="0" equalAverage="0" bottom="0" percent="0" rank="0" text="" dxfId="1">
      <formula>ISNUMBER(SEARCH("LOOSEN",H2))</formula>
    </cfRule>
    <cfRule type="expression" priority="42" aboveAverage="0" equalAverage="0" bottom="0" percent="0" rank="0" text="" dxfId="1">
      <formula>ISNUMBER(SEARCH("WEAK",H2))</formula>
    </cfRule>
    <cfRule type="expression" priority="43" aboveAverage="0" equalAverage="0" bottom="0" percent="0" rank="0" text="" dxfId="1">
      <formula>ISNUMBER(SEARCH("ADJACENT",H2))</formula>
    </cfRule>
    <cfRule type="expression" priority="44" aboveAverage="0" equalAverage="0" bottom="0" percent="0" rank="0" text="" dxfId="1">
      <formula>ISNUMBER(SEARCH("GAPS",H2))</formula>
    </cfRule>
    <cfRule type="expression" priority="45" aboveAverage="0" equalAverage="0" bottom="0" percent="0" rank="0" text="" dxfId="1">
      <formula>ISNUMBER(SEARCH("ADD ONE",H2))</formula>
    </cfRule>
    <cfRule type="expression" priority="46" aboveAverage="0" equalAverage="0" bottom="0" percent="0" rank="0" text="" dxfId="1">
      <formula>ISNUMBER(SEARCH("⚠",H2))</formula>
    </cfRule>
    <cfRule type="expression" priority="47" aboveAverage="0" equalAverage="0" bottom="0" percent="0" rank="0" text="" dxfId="2">
      <formula>ISNUMBER(SEARCH("PASS",H2))</formula>
    </cfRule>
    <cfRule type="expression" priority="48" aboveAverage="0" equalAverage="0" bottom="0" percent="0" rank="0" text="" dxfId="2">
      <formula>ISNUMBER(SEARCH("GO",H2))</formula>
    </cfRule>
    <cfRule type="expression" priority="49" aboveAverage="0" equalAverage="0" bottom="0" percent="0" rank="0" text="" dxfId="2">
      <formula>ISNUMBER(SEARCH("BUILD",H2))</formula>
    </cfRule>
    <cfRule type="expression" priority="50" aboveAverage="0" equalAverage="0" bottom="0" percent="0" rank="0" text="" dxfId="2">
      <formula>ISNUMBER(SEARCH("COMPLETE",H2))</formula>
    </cfRule>
    <cfRule type="expression" priority="51" aboveAverage="0" equalAverage="0" bottom="0" percent="0" rank="0" text="" dxfId="2">
      <formula>ISNUMBER(SEARCH("ELIGIBLE",H2))</formula>
    </cfRule>
    <cfRule type="expression" priority="52" aboveAverage="0" equalAverage="0" bottom="0" percent="0" rank="0" text="" dxfId="2">
      <formula>ISNUMBER(SEARCH("SHIP",H2))</formula>
    </cfRule>
    <cfRule type="expression" priority="53" aboveAverage="0" equalAverage="0" bottom="0" percent="0" rank="0" text="" dxfId="2">
      <formula>ISNUMBER(SEARCH("ON TARGET",H2))</formula>
    </cfRule>
    <cfRule type="expression" priority="54" aboveAverage="0" equalAverage="0" bottom="0" percent="0" rank="0" text="" dxfId="2">
      <formula>ISNUMBER(SEARCH("ON TRACK",H2))</formula>
    </cfRule>
    <cfRule type="expression" priority="55" aboveAverage="0" equalAverage="0" bottom="0" percent="0" rank="0" text="" dxfId="2">
      <formula>ISNUMBER(SEARCH("RESOLVED",H2))</formula>
    </cfRule>
    <cfRule type="expression" priority="56" aboveAverage="0" equalAverage="0" bottom="0" percent="0" rank="0" text="" dxfId="2">
      <formula>ISNUMBER(SEARCH("OK",H2))</formula>
    </cfRule>
    <cfRule type="expression" priority="57" aboveAverage="0" equalAverage="0" bottom="0" percent="0" rank="0" text="" dxfId="2">
      <formula>ISNUMBER(SEARCH("MATCH",H2))</formula>
    </cfRule>
    <cfRule type="expression" priority="58" aboveAverage="0" equalAverage="0" bottom="0" percent="0" rank="0" text="" dxfId="2">
      <formula>ISNUMBER(SEARCH("SOUND",H2))</formula>
    </cfRule>
    <cfRule type="expression" priority="59" aboveAverage="0" equalAverage="0" bottom="0" percent="0" rank="0" text="" dxfId="2">
      <formula>ISNUMBER(SEARCH("WITHIN",H2))</formula>
    </cfRule>
    <cfRule type="expression" priority="60" aboveAverage="0" equalAverage="0" bottom="0" percent="0" rank="0" text="" dxfId="2">
      <formula>ISNUMBER(SEARCH("DONE",H2))</formula>
    </cfRule>
    <cfRule type="expression" priority="61" aboveAverage="0" equalAverage="0" bottom="0" percent="0" rank="0" text="" dxfId="2">
      <formula>ISNUMBER(SEARCH("SIGNED",H2))</formula>
    </cfRule>
    <cfRule type="expression" priority="62" aboveAverage="0" equalAverage="0" bottom="0" percent="0" rank="0" text="" dxfId="2">
      <formula>ISNUMBER(SEARCH("✓",H2))</formula>
    </cfRule>
    <cfRule type="expression" priority="63" aboveAverage="0" equalAverage="0" bottom="0" percent="0" rank="0" text="" dxfId="2">
      <formula>ISNUMBER(SEARCH("KEEP",H2))</formula>
    </cfRule>
    <cfRule type="expression" priority="64" aboveAverage="0" equalAverage="0" bottom="0" percent="0" rank="0" text="" dxfId="2">
      <formula>ISNUMBER(SEARCH("DEV-READY",H2))</formula>
    </cfRule>
    <cfRule type="expression" priority="65" aboveAverage="0" equalAverage="0" bottom="0" percent="0" rank="0" text="" dxfId="2">
      <formula>ISNUMBER(SEARCH("GREW",H2))</formula>
    </cfRule>
    <cfRule type="expression" priority="66" aboveAverage="0" equalAverage="0" bottom="0" percent="0" rank="0" text="" dxfId="2">
      <formula>ISNUMBER(SEARCH("HIT",H2))</formula>
    </cfRule>
    <cfRule type="expression" priority="67" aboveAverage="0" equalAverage="0" bottom="0" percent="0" rank="0" text="" dxfId="2">
      <formula>ISNUMBER(SEARCH("CORRECT",H2))</formula>
    </cfRule>
    <cfRule type="expression" priority="68" aboveAverage="0" equalAverage="0" bottom="0" percent="0" rank="0" text="" dxfId="2">
      <formula>ISNUMBER(SEARCH("STAY",H2))</formula>
    </cfRule>
  </conditionalFormatting>
  <conditionalFormatting sqref="I16:I20">
    <cfRule type="expression" priority="69" aboveAverage="0" equalAverage="0" bottom="0" percent="0" rank="0" text="" dxfId="0">
      <formula>ISNUMBER(SEARCH("NO-GO",I16))</formula>
    </cfRule>
    <cfRule type="expression" priority="70" aboveAverage="0" equalAverage="0" bottom="0" percent="0" rank="0" text="" dxfId="0">
      <formula>ISNUMBER(SEARCH("HOLD",I16))</formula>
    </cfRule>
    <cfRule type="expression" priority="71" aboveAverage="0" equalAverage="0" bottom="0" percent="0" rank="0" text="" dxfId="0">
      <formula>ISNUMBER(SEARCH("KILL",I16))</formula>
    </cfRule>
    <cfRule type="expression" priority="72" aboveAverage="0" equalAverage="0" bottom="0" percent="0" rank="0" text="" dxfId="0">
      <formula>ISNUMBER(SEARCH("BLOCKED",I16))</formula>
    </cfRule>
    <cfRule type="expression" priority="73" aboveAverage="0" equalAverage="0" bottom="0" percent="0" rank="0" text="" dxfId="0">
      <formula>ISNUMBER(SEARCH("INVALID",I16))</formula>
    </cfRule>
    <cfRule type="expression" priority="74" aboveAverage="0" equalAverage="0" bottom="0" percent="0" rank="0" text="" dxfId="0">
      <formula>ISNUMBER(SEARCH("VIOLATION",I16))</formula>
    </cfRule>
    <cfRule type="expression" priority="75" aboveAverage="0" equalAverage="0" bottom="0" percent="0" rank="0" text="" dxfId="0">
      <formula>ISNUMBER(SEARCH("UNDER-SLACKED",I16))</formula>
    </cfRule>
    <cfRule type="expression" priority="76" aboveAverage="0" equalAverage="0" bottom="0" percent="0" rank="0" text="" dxfId="0">
      <formula>ISNUMBER(SEARCH("NOT YET",I16))</formula>
    </cfRule>
    <cfRule type="expression" priority="77" aboveAverage="0" equalAverage="0" bottom="0" percent="0" rank="0" text="" dxfId="0">
      <formula>ISNUMBER(SEARCH("HALF",I16))</formula>
    </cfRule>
    <cfRule type="expression" priority="78" aboveAverage="0" equalAverage="0" bottom="0" percent="0" rank="0" text="" dxfId="0">
      <formula>ISNUMBER(SEARCH("INCOMPLETE",I16))</formula>
    </cfRule>
    <cfRule type="expression" priority="79" aboveAverage="0" equalAverage="0" bottom="0" percent="0" rank="0" text="" dxfId="0">
      <formula>ISNUMBER(SEARCH("ALERT",I16))</formula>
    </cfRule>
    <cfRule type="expression" priority="80" aboveAverage="0" equalAverage="0" bottom="0" percent="0" rank="0" text="" dxfId="0">
      <formula>ISNUMBER(SEARCH("BELOW",I16))</formula>
    </cfRule>
    <cfRule type="expression" priority="81" aboveAverage="0" equalAverage="0" bottom="0" percent="0" rank="0" text="" dxfId="0">
      <formula>ISNUMBER(SEARCH("FAIL",I16))</formula>
    </cfRule>
    <cfRule type="expression" priority="82" aboveAverage="0" equalAverage="0" bottom="0" percent="0" rank="0" text="" dxfId="0">
      <formula>ISNUMBER(SEARCH("STAGNANT",I16))</formula>
    </cfRule>
    <cfRule type="expression" priority="83" aboveAverage="0" equalAverage="0" bottom="0" percent="0" rank="0" text="" dxfId="0">
      <formula>ISNUMBER(SEARCH("MISSING",I16))</formula>
    </cfRule>
    <cfRule type="expression" priority="84" aboveAverage="0" equalAverage="0" bottom="0" percent="0" rank="0" text="" dxfId="0">
      <formula>ISNUMBER(SEARCH("PLANTED",I16))</formula>
    </cfRule>
    <cfRule type="expression" priority="85" aboveAverage="0" equalAverage="0" bottom="0" percent="0" rank="0" text="" dxfId="0">
      <formula>ISNUMBER(SEARCH("WRITE WITHOUT",I16))</formula>
    </cfRule>
    <cfRule type="expression" priority="86" aboveAverage="0" equalAverage="0" bottom="0" percent="0" rank="0" text="" dxfId="0">
      <formula>ISNUMBER(SEARCH("CHALLENGE",I16))</formula>
    </cfRule>
    <cfRule type="expression" priority="87" aboveAverage="0" equalAverage="0" bottom="0" percent="0" rank="0" text="" dxfId="0">
      <formula>ISNUMBER(SEARCH("NOT STARTED",I16))</formula>
    </cfRule>
    <cfRule type="expression" priority="88" aboveAverage="0" equalAverage="0" bottom="0" percent="0" rank="0" text="" dxfId="0">
      <formula>ISNUMBER(SEARCH("DISCUSS",I16))</formula>
    </cfRule>
    <cfRule type="expression" priority="89" aboveAverage="0" equalAverage="0" bottom="0" percent="0" rank="0" text="" dxfId="0">
      <formula>ISNUMBER(SEARCH("UNSIGNED",I16))</formula>
    </cfRule>
    <cfRule type="expression" priority="90" aboveAverage="0" equalAverage="0" bottom="0" percent="0" rank="0" text="" dxfId="0">
      <formula>ISNUMBER(SEARCH("FALSE ALARM",I16))</formula>
    </cfRule>
    <cfRule type="expression" priority="91" aboveAverage="0" equalAverage="0" bottom="0" percent="0" rank="0" text="" dxfId="0">
      <formula>ISNUMBER(SEARCH("MISSED",I16))</formula>
    </cfRule>
    <cfRule type="expression" priority="92" aboveAverage="0" equalAverage="0" bottom="0" percent="0" rank="0" text="" dxfId="0">
      <formula>ISNUMBER(SEARCH("COSTUME",I16))</formula>
    </cfRule>
    <cfRule type="expression" priority="93" aboveAverage="0" equalAverage="0" bottom="0" percent="0" rank="0" text="" dxfId="0">
      <formula>ISNUMBER(SEARCH("PROMISE WITHOUT",I16))</formula>
    </cfRule>
    <cfRule type="expression" priority="94" aboveAverage="0" equalAverage="0" bottom="0" percent="0" rank="0" text="" dxfId="1">
      <formula>ISNUMBER(SEARCH("BORDERLINE",I16))</formula>
    </cfRule>
    <cfRule type="expression" priority="95" aboveAverage="0" equalAverage="0" bottom="0" percent="0" rank="0" text="" dxfId="1">
      <formula>ISNUMBER(SEARCH("WORKFLOW",I16))</formula>
    </cfRule>
    <cfRule type="expression" priority="96" aboveAverage="0" equalAverage="0" bottom="0" percent="0" rank="0" text="" dxfId="1">
      <formula>ISNUMBER(SEARCH("PENDING",I16))</formula>
    </cfRule>
    <cfRule type="expression" priority="97" aboveAverage="0" equalAverage="0" bottom="0" percent="0" rank="0" text="" dxfId="1">
      <formula>ISNUMBER(SEARCH("ADVISORY",I16))</formula>
    </cfRule>
    <cfRule type="expression" priority="98" aboveAverage="0" equalAverage="0" bottom="0" percent="0" rank="0" text="" dxfId="1">
      <formula>ISNUMBER(SEARCH("ABOVE",I16))</formula>
    </cfRule>
    <cfRule type="expression" priority="99" aboveAverage="0" equalAverage="0" bottom="0" percent="0" rank="0" text="" dxfId="1">
      <formula>ISNUMBER(SEARCH("TUNE",I16))</formula>
    </cfRule>
    <cfRule type="expression" priority="100" aboveAverage="0" equalAverage="0" bottom="0" percent="0" rank="0" text="" dxfId="1">
      <formula>ISNUMBER(SEARCH("REVIEW",I16))</formula>
    </cfRule>
    <cfRule type="expression" priority="101" aboveAverage="0" equalAverage="0" bottom="0" percent="0" rank="0" text="" dxfId="1">
      <formula>ISNUMBER(SEARCH("DECIDE",I16))</formula>
    </cfRule>
    <cfRule type="expression" priority="102" aboveAverage="0" equalAverage="0" bottom="0" percent="0" rank="0" text="" dxfId="1">
      <formula>ISNUMBER(SEARCH("IN PROGRESS",I16))</formula>
    </cfRule>
    <cfRule type="expression" priority="103" aboveAverage="0" equalAverage="0" bottom="0" percent="0" rank="0" text="" dxfId="1">
      <formula>ISNUMBER(SEARCH("PARTIAL",I16))</formula>
    </cfRule>
    <cfRule type="expression" priority="104" aboveAverage="0" equalAverage="0" bottom="0" percent="0" rank="0" text="" dxfId="1">
      <formula>ISNUMBER(SEARCH("NO DATA",I16))</formula>
    </cfRule>
    <cfRule type="expression" priority="105" aboveAverage="0" equalAverage="0" bottom="0" percent="0" rank="0" text="" dxfId="1">
      <formula>ISNUMBER(SEARCH("NOT RUN",I16))</formula>
    </cfRule>
    <cfRule type="expression" priority="106" aboveAverage="0" equalAverage="0" bottom="0" percent="0" rank="0" text="" dxfId="1">
      <formula>ISNUMBER(SEARCH("EVALUATE",I16))</formula>
    </cfRule>
    <cfRule type="expression" priority="107" aboveAverage="0" equalAverage="0" bottom="0" percent="0" rank="0" text="" dxfId="1">
      <formula>ISNUMBER(SEARCH("TIGHTEN",I16))</formula>
    </cfRule>
    <cfRule type="expression" priority="108" aboveAverage="0" equalAverage="0" bottom="0" percent="0" rank="0" text="" dxfId="1">
      <formula>ISNUMBER(SEARCH("LOOSEN",I16))</formula>
    </cfRule>
    <cfRule type="expression" priority="109" aboveAverage="0" equalAverage="0" bottom="0" percent="0" rank="0" text="" dxfId="1">
      <formula>ISNUMBER(SEARCH("WEAK",I16))</formula>
    </cfRule>
    <cfRule type="expression" priority="110" aboveAverage="0" equalAverage="0" bottom="0" percent="0" rank="0" text="" dxfId="1">
      <formula>ISNUMBER(SEARCH("ADJACENT",I16))</formula>
    </cfRule>
    <cfRule type="expression" priority="111" aboveAverage="0" equalAverage="0" bottom="0" percent="0" rank="0" text="" dxfId="1">
      <formula>ISNUMBER(SEARCH("GAPS",I16))</formula>
    </cfRule>
    <cfRule type="expression" priority="112" aboveAverage="0" equalAverage="0" bottom="0" percent="0" rank="0" text="" dxfId="1">
      <formula>ISNUMBER(SEARCH("ADD ONE",I16))</formula>
    </cfRule>
    <cfRule type="expression" priority="113" aboveAverage="0" equalAverage="0" bottom="0" percent="0" rank="0" text="" dxfId="1">
      <formula>ISNUMBER(SEARCH("⚠",I16))</formula>
    </cfRule>
    <cfRule type="expression" priority="114" aboveAverage="0" equalAverage="0" bottom="0" percent="0" rank="0" text="" dxfId="2">
      <formula>ISNUMBER(SEARCH("PASS",I16))</formula>
    </cfRule>
    <cfRule type="expression" priority="115" aboveAverage="0" equalAverage="0" bottom="0" percent="0" rank="0" text="" dxfId="2">
      <formula>ISNUMBER(SEARCH("GO",I16))</formula>
    </cfRule>
    <cfRule type="expression" priority="116" aboveAverage="0" equalAverage="0" bottom="0" percent="0" rank="0" text="" dxfId="2">
      <formula>ISNUMBER(SEARCH("BUILD",I16))</formula>
    </cfRule>
    <cfRule type="expression" priority="117" aboveAverage="0" equalAverage="0" bottom="0" percent="0" rank="0" text="" dxfId="2">
      <formula>ISNUMBER(SEARCH("COMPLETE",I16))</formula>
    </cfRule>
    <cfRule type="expression" priority="118" aboveAverage="0" equalAverage="0" bottom="0" percent="0" rank="0" text="" dxfId="2">
      <formula>ISNUMBER(SEARCH("ELIGIBLE",I16))</formula>
    </cfRule>
    <cfRule type="expression" priority="119" aboveAverage="0" equalAverage="0" bottom="0" percent="0" rank="0" text="" dxfId="2">
      <formula>ISNUMBER(SEARCH("SHIP",I16))</formula>
    </cfRule>
    <cfRule type="expression" priority="120" aboveAverage="0" equalAverage="0" bottom="0" percent="0" rank="0" text="" dxfId="2">
      <formula>ISNUMBER(SEARCH("ON TARGET",I16))</formula>
    </cfRule>
    <cfRule type="expression" priority="121" aboveAverage="0" equalAverage="0" bottom="0" percent="0" rank="0" text="" dxfId="2">
      <formula>ISNUMBER(SEARCH("ON TRACK",I16))</formula>
    </cfRule>
    <cfRule type="expression" priority="122" aboveAverage="0" equalAverage="0" bottom="0" percent="0" rank="0" text="" dxfId="2">
      <formula>ISNUMBER(SEARCH("RESOLVED",I16))</formula>
    </cfRule>
    <cfRule type="expression" priority="123" aboveAverage="0" equalAverage="0" bottom="0" percent="0" rank="0" text="" dxfId="2">
      <formula>ISNUMBER(SEARCH("OK",I16))</formula>
    </cfRule>
    <cfRule type="expression" priority="124" aboveAverage="0" equalAverage="0" bottom="0" percent="0" rank="0" text="" dxfId="2">
      <formula>ISNUMBER(SEARCH("MATCH",I16))</formula>
    </cfRule>
    <cfRule type="expression" priority="125" aboveAverage="0" equalAverage="0" bottom="0" percent="0" rank="0" text="" dxfId="2">
      <formula>ISNUMBER(SEARCH("SOUND",I16))</formula>
    </cfRule>
    <cfRule type="expression" priority="126" aboveAverage="0" equalAverage="0" bottom="0" percent="0" rank="0" text="" dxfId="2">
      <formula>ISNUMBER(SEARCH("WITHIN",I16))</formula>
    </cfRule>
    <cfRule type="expression" priority="127" aboveAverage="0" equalAverage="0" bottom="0" percent="0" rank="0" text="" dxfId="2">
      <formula>ISNUMBER(SEARCH("DONE",I16))</formula>
    </cfRule>
    <cfRule type="expression" priority="128" aboveAverage="0" equalAverage="0" bottom="0" percent="0" rank="0" text="" dxfId="2">
      <formula>ISNUMBER(SEARCH("SIGNED",I16))</formula>
    </cfRule>
    <cfRule type="expression" priority="129" aboveAverage="0" equalAverage="0" bottom="0" percent="0" rank="0" text="" dxfId="2">
      <formula>ISNUMBER(SEARCH("✓",I16))</formula>
    </cfRule>
    <cfRule type="expression" priority="130" aboveAverage="0" equalAverage="0" bottom="0" percent="0" rank="0" text="" dxfId="2">
      <formula>ISNUMBER(SEARCH("KEEP",I16))</formula>
    </cfRule>
    <cfRule type="expression" priority="131" aboveAverage="0" equalAverage="0" bottom="0" percent="0" rank="0" text="" dxfId="2">
      <formula>ISNUMBER(SEARCH("DEV-READY",I16))</formula>
    </cfRule>
    <cfRule type="expression" priority="132" aboveAverage="0" equalAverage="0" bottom="0" percent="0" rank="0" text="" dxfId="2">
      <formula>ISNUMBER(SEARCH("GREW",I16))</formula>
    </cfRule>
    <cfRule type="expression" priority="133" aboveAverage="0" equalAverage="0" bottom="0" percent="0" rank="0" text="" dxfId="2">
      <formula>ISNUMBER(SEARCH("HIT",I16))</formula>
    </cfRule>
    <cfRule type="expression" priority="134" aboveAverage="0" equalAverage="0" bottom="0" percent="0" rank="0" text="" dxfId="2">
      <formula>ISNUMBER(SEARCH("CORRECT",I16))</formula>
    </cfRule>
    <cfRule type="expression" priority="135" aboveAverage="0" equalAverage="0" bottom="0" percent="0" rank="0" text="" dxfId="2">
      <formula>ISNUMBER(SEARCH("STAY",I16))</formula>
    </cfRule>
  </conditionalFormatting>
  <conditionalFormatting sqref="H25:H27">
    <cfRule type="expression" priority="136" aboveAverage="0" equalAverage="0" bottom="0" percent="0" rank="0" text="" dxfId="0">
      <formula>ISNUMBER(SEARCH("NO-GO",H25))</formula>
    </cfRule>
    <cfRule type="expression" priority="137" aboveAverage="0" equalAverage="0" bottom="0" percent="0" rank="0" text="" dxfId="0">
      <formula>ISNUMBER(SEARCH("HOLD",H25))</formula>
    </cfRule>
    <cfRule type="expression" priority="138" aboveAverage="0" equalAverage="0" bottom="0" percent="0" rank="0" text="" dxfId="0">
      <formula>ISNUMBER(SEARCH("KILL",H25))</formula>
    </cfRule>
    <cfRule type="expression" priority="139" aboveAverage="0" equalAverage="0" bottom="0" percent="0" rank="0" text="" dxfId="0">
      <formula>ISNUMBER(SEARCH("BLOCKED",H25))</formula>
    </cfRule>
    <cfRule type="expression" priority="140" aboveAverage="0" equalAverage="0" bottom="0" percent="0" rank="0" text="" dxfId="0">
      <formula>ISNUMBER(SEARCH("INVALID",H25))</formula>
    </cfRule>
    <cfRule type="expression" priority="141" aboveAverage="0" equalAverage="0" bottom="0" percent="0" rank="0" text="" dxfId="0">
      <formula>ISNUMBER(SEARCH("VIOLATION",H25))</formula>
    </cfRule>
    <cfRule type="expression" priority="142" aboveAverage="0" equalAverage="0" bottom="0" percent="0" rank="0" text="" dxfId="0">
      <formula>ISNUMBER(SEARCH("UNDER-SLACKED",H25))</formula>
    </cfRule>
    <cfRule type="expression" priority="143" aboveAverage="0" equalAverage="0" bottom="0" percent="0" rank="0" text="" dxfId="0">
      <formula>ISNUMBER(SEARCH("NOT YET",H25))</formula>
    </cfRule>
    <cfRule type="expression" priority="144" aboveAverage="0" equalAverage="0" bottom="0" percent="0" rank="0" text="" dxfId="0">
      <formula>ISNUMBER(SEARCH("HALF",H25))</formula>
    </cfRule>
    <cfRule type="expression" priority="145" aboveAverage="0" equalAverage="0" bottom="0" percent="0" rank="0" text="" dxfId="0">
      <formula>ISNUMBER(SEARCH("INCOMPLETE",H25))</formula>
    </cfRule>
    <cfRule type="expression" priority="146" aboveAverage="0" equalAverage="0" bottom="0" percent="0" rank="0" text="" dxfId="0">
      <formula>ISNUMBER(SEARCH("ALERT",H25))</formula>
    </cfRule>
    <cfRule type="expression" priority="147" aboveAverage="0" equalAverage="0" bottom="0" percent="0" rank="0" text="" dxfId="0">
      <formula>ISNUMBER(SEARCH("BELOW",H25))</formula>
    </cfRule>
    <cfRule type="expression" priority="148" aboveAverage="0" equalAverage="0" bottom="0" percent="0" rank="0" text="" dxfId="0">
      <formula>ISNUMBER(SEARCH("FAIL",H25))</formula>
    </cfRule>
    <cfRule type="expression" priority="149" aboveAverage="0" equalAverage="0" bottom="0" percent="0" rank="0" text="" dxfId="0">
      <formula>ISNUMBER(SEARCH("STAGNANT",H25))</formula>
    </cfRule>
    <cfRule type="expression" priority="150" aboveAverage="0" equalAverage="0" bottom="0" percent="0" rank="0" text="" dxfId="0">
      <formula>ISNUMBER(SEARCH("MISSING",H25))</formula>
    </cfRule>
    <cfRule type="expression" priority="151" aboveAverage="0" equalAverage="0" bottom="0" percent="0" rank="0" text="" dxfId="0">
      <formula>ISNUMBER(SEARCH("PLANTED",H25))</formula>
    </cfRule>
    <cfRule type="expression" priority="152" aboveAverage="0" equalAverage="0" bottom="0" percent="0" rank="0" text="" dxfId="0">
      <formula>ISNUMBER(SEARCH("WRITE WITHOUT",H25))</formula>
    </cfRule>
    <cfRule type="expression" priority="153" aboveAverage="0" equalAverage="0" bottom="0" percent="0" rank="0" text="" dxfId="0">
      <formula>ISNUMBER(SEARCH("CHALLENGE",H25))</formula>
    </cfRule>
    <cfRule type="expression" priority="154" aboveAverage="0" equalAverage="0" bottom="0" percent="0" rank="0" text="" dxfId="0">
      <formula>ISNUMBER(SEARCH("NOT STARTED",H25))</formula>
    </cfRule>
    <cfRule type="expression" priority="155" aboveAverage="0" equalAverage="0" bottom="0" percent="0" rank="0" text="" dxfId="0">
      <formula>ISNUMBER(SEARCH("DISCUSS",H25))</formula>
    </cfRule>
    <cfRule type="expression" priority="156" aboveAverage="0" equalAverage="0" bottom="0" percent="0" rank="0" text="" dxfId="0">
      <formula>ISNUMBER(SEARCH("UNSIGNED",H25))</formula>
    </cfRule>
    <cfRule type="expression" priority="157" aboveAverage="0" equalAverage="0" bottom="0" percent="0" rank="0" text="" dxfId="0">
      <formula>ISNUMBER(SEARCH("FALSE ALARM",H25))</formula>
    </cfRule>
    <cfRule type="expression" priority="158" aboveAverage="0" equalAverage="0" bottom="0" percent="0" rank="0" text="" dxfId="0">
      <formula>ISNUMBER(SEARCH("MISSED",H25))</formula>
    </cfRule>
    <cfRule type="expression" priority="159" aboveAverage="0" equalAverage="0" bottom="0" percent="0" rank="0" text="" dxfId="0">
      <formula>ISNUMBER(SEARCH("COSTUME",H25))</formula>
    </cfRule>
    <cfRule type="expression" priority="160" aboveAverage="0" equalAverage="0" bottom="0" percent="0" rank="0" text="" dxfId="0">
      <formula>ISNUMBER(SEARCH("PROMISE WITHOUT",H25))</formula>
    </cfRule>
    <cfRule type="expression" priority="161" aboveAverage="0" equalAverage="0" bottom="0" percent="0" rank="0" text="" dxfId="1">
      <formula>ISNUMBER(SEARCH("BORDERLINE",H25))</formula>
    </cfRule>
    <cfRule type="expression" priority="162" aboveAverage="0" equalAverage="0" bottom="0" percent="0" rank="0" text="" dxfId="1">
      <formula>ISNUMBER(SEARCH("WORKFLOW",H25))</formula>
    </cfRule>
    <cfRule type="expression" priority="163" aboveAverage="0" equalAverage="0" bottom="0" percent="0" rank="0" text="" dxfId="1">
      <formula>ISNUMBER(SEARCH("PENDING",H25))</formula>
    </cfRule>
    <cfRule type="expression" priority="164" aboveAverage="0" equalAverage="0" bottom="0" percent="0" rank="0" text="" dxfId="1">
      <formula>ISNUMBER(SEARCH("ADVISORY",H25))</formula>
    </cfRule>
    <cfRule type="expression" priority="165" aboveAverage="0" equalAverage="0" bottom="0" percent="0" rank="0" text="" dxfId="1">
      <formula>ISNUMBER(SEARCH("ABOVE",H25))</formula>
    </cfRule>
    <cfRule type="expression" priority="166" aboveAverage="0" equalAverage="0" bottom="0" percent="0" rank="0" text="" dxfId="1">
      <formula>ISNUMBER(SEARCH("TUNE",H25))</formula>
    </cfRule>
    <cfRule type="expression" priority="167" aboveAverage="0" equalAverage="0" bottom="0" percent="0" rank="0" text="" dxfId="1">
      <formula>ISNUMBER(SEARCH("REVIEW",H25))</formula>
    </cfRule>
    <cfRule type="expression" priority="168" aboveAverage="0" equalAverage="0" bottom="0" percent="0" rank="0" text="" dxfId="1">
      <formula>ISNUMBER(SEARCH("DECIDE",H25))</formula>
    </cfRule>
    <cfRule type="expression" priority="169" aboveAverage="0" equalAverage="0" bottom="0" percent="0" rank="0" text="" dxfId="1">
      <formula>ISNUMBER(SEARCH("IN PROGRESS",H25))</formula>
    </cfRule>
    <cfRule type="expression" priority="170" aboveAverage="0" equalAverage="0" bottom="0" percent="0" rank="0" text="" dxfId="1">
      <formula>ISNUMBER(SEARCH("PARTIAL",H25))</formula>
    </cfRule>
    <cfRule type="expression" priority="171" aboveAverage="0" equalAverage="0" bottom="0" percent="0" rank="0" text="" dxfId="1">
      <formula>ISNUMBER(SEARCH("NO DATA",H25))</formula>
    </cfRule>
    <cfRule type="expression" priority="172" aboveAverage="0" equalAverage="0" bottom="0" percent="0" rank="0" text="" dxfId="1">
      <formula>ISNUMBER(SEARCH("NOT RUN",H25))</formula>
    </cfRule>
    <cfRule type="expression" priority="173" aboveAverage="0" equalAverage="0" bottom="0" percent="0" rank="0" text="" dxfId="1">
      <formula>ISNUMBER(SEARCH("EVALUATE",H25))</formula>
    </cfRule>
    <cfRule type="expression" priority="174" aboveAverage="0" equalAverage="0" bottom="0" percent="0" rank="0" text="" dxfId="1">
      <formula>ISNUMBER(SEARCH("TIGHTEN",H25))</formula>
    </cfRule>
    <cfRule type="expression" priority="175" aboveAverage="0" equalAverage="0" bottom="0" percent="0" rank="0" text="" dxfId="1">
      <formula>ISNUMBER(SEARCH("LOOSEN",H25))</formula>
    </cfRule>
    <cfRule type="expression" priority="176" aboveAverage="0" equalAverage="0" bottom="0" percent="0" rank="0" text="" dxfId="1">
      <formula>ISNUMBER(SEARCH("WEAK",H25))</formula>
    </cfRule>
    <cfRule type="expression" priority="177" aboveAverage="0" equalAverage="0" bottom="0" percent="0" rank="0" text="" dxfId="1">
      <formula>ISNUMBER(SEARCH("ADJACENT",H25))</formula>
    </cfRule>
    <cfRule type="expression" priority="178" aboveAverage="0" equalAverage="0" bottom="0" percent="0" rank="0" text="" dxfId="1">
      <formula>ISNUMBER(SEARCH("GAPS",H25))</formula>
    </cfRule>
    <cfRule type="expression" priority="179" aboveAverage="0" equalAverage="0" bottom="0" percent="0" rank="0" text="" dxfId="1">
      <formula>ISNUMBER(SEARCH("ADD ONE",H25))</formula>
    </cfRule>
    <cfRule type="expression" priority="180" aboveAverage="0" equalAverage="0" bottom="0" percent="0" rank="0" text="" dxfId="1">
      <formula>ISNUMBER(SEARCH("⚠",H25))</formula>
    </cfRule>
    <cfRule type="expression" priority="181" aboveAverage="0" equalAverage="0" bottom="0" percent="0" rank="0" text="" dxfId="2">
      <formula>ISNUMBER(SEARCH("PASS",H25))</formula>
    </cfRule>
    <cfRule type="expression" priority="182" aboveAverage="0" equalAverage="0" bottom="0" percent="0" rank="0" text="" dxfId="2">
      <formula>ISNUMBER(SEARCH("GO",H25))</formula>
    </cfRule>
    <cfRule type="expression" priority="183" aboveAverage="0" equalAverage="0" bottom="0" percent="0" rank="0" text="" dxfId="2">
      <formula>ISNUMBER(SEARCH("BUILD",H25))</formula>
    </cfRule>
    <cfRule type="expression" priority="184" aboveAverage="0" equalAverage="0" bottom="0" percent="0" rank="0" text="" dxfId="2">
      <formula>ISNUMBER(SEARCH("COMPLETE",H25))</formula>
    </cfRule>
    <cfRule type="expression" priority="185" aboveAverage="0" equalAverage="0" bottom="0" percent="0" rank="0" text="" dxfId="2">
      <formula>ISNUMBER(SEARCH("ELIGIBLE",H25))</formula>
    </cfRule>
    <cfRule type="expression" priority="186" aboveAverage="0" equalAverage="0" bottom="0" percent="0" rank="0" text="" dxfId="2">
      <formula>ISNUMBER(SEARCH("SHIP",H25))</formula>
    </cfRule>
    <cfRule type="expression" priority="187" aboveAverage="0" equalAverage="0" bottom="0" percent="0" rank="0" text="" dxfId="2">
      <formula>ISNUMBER(SEARCH("ON TARGET",H25))</formula>
    </cfRule>
    <cfRule type="expression" priority="188" aboveAverage="0" equalAverage="0" bottom="0" percent="0" rank="0" text="" dxfId="2">
      <formula>ISNUMBER(SEARCH("ON TRACK",H25))</formula>
    </cfRule>
    <cfRule type="expression" priority="189" aboveAverage="0" equalAverage="0" bottom="0" percent="0" rank="0" text="" dxfId="2">
      <formula>ISNUMBER(SEARCH("RESOLVED",H25))</formula>
    </cfRule>
    <cfRule type="expression" priority="190" aboveAverage="0" equalAverage="0" bottom="0" percent="0" rank="0" text="" dxfId="2">
      <formula>ISNUMBER(SEARCH("OK",H25))</formula>
    </cfRule>
    <cfRule type="expression" priority="191" aboveAverage="0" equalAverage="0" bottom="0" percent="0" rank="0" text="" dxfId="2">
      <formula>ISNUMBER(SEARCH("MATCH",H25))</formula>
    </cfRule>
    <cfRule type="expression" priority="192" aboveAverage="0" equalAverage="0" bottom="0" percent="0" rank="0" text="" dxfId="2">
      <formula>ISNUMBER(SEARCH("SOUND",H25))</formula>
    </cfRule>
    <cfRule type="expression" priority="193" aboveAverage="0" equalAverage="0" bottom="0" percent="0" rank="0" text="" dxfId="2">
      <formula>ISNUMBER(SEARCH("WITHIN",H25))</formula>
    </cfRule>
    <cfRule type="expression" priority="194" aboveAverage="0" equalAverage="0" bottom="0" percent="0" rank="0" text="" dxfId="2">
      <formula>ISNUMBER(SEARCH("DONE",H25))</formula>
    </cfRule>
    <cfRule type="expression" priority="195" aboveAverage="0" equalAverage="0" bottom="0" percent="0" rank="0" text="" dxfId="2">
      <formula>ISNUMBER(SEARCH("SIGNED",H25))</formula>
    </cfRule>
    <cfRule type="expression" priority="196" aboveAverage="0" equalAverage="0" bottom="0" percent="0" rank="0" text="" dxfId="2">
      <formula>ISNUMBER(SEARCH("✓",H25))</formula>
    </cfRule>
    <cfRule type="expression" priority="197" aboveAverage="0" equalAverage="0" bottom="0" percent="0" rank="0" text="" dxfId="2">
      <formula>ISNUMBER(SEARCH("KEEP",H25))</formula>
    </cfRule>
    <cfRule type="expression" priority="198" aboveAverage="0" equalAverage="0" bottom="0" percent="0" rank="0" text="" dxfId="2">
      <formula>ISNUMBER(SEARCH("DEV-READY",H25))</formula>
    </cfRule>
    <cfRule type="expression" priority="199" aboveAverage="0" equalAverage="0" bottom="0" percent="0" rank="0" text="" dxfId="2">
      <formula>ISNUMBER(SEARCH("GREW",H25))</formula>
    </cfRule>
    <cfRule type="expression" priority="200" aboveAverage="0" equalAverage="0" bottom="0" percent="0" rank="0" text="" dxfId="2">
      <formula>ISNUMBER(SEARCH("HIT",H25))</formula>
    </cfRule>
    <cfRule type="expression" priority="201" aboveAverage="0" equalAverage="0" bottom="0" percent="0" rank="0" text="" dxfId="2">
      <formula>ISNUMBER(SEARCH("CORRECT",H25))</formula>
    </cfRule>
    <cfRule type="expression" priority="202" aboveAverage="0" equalAverage="0" bottom="0" percent="0" rank="0" text="" dxfId="2">
      <formula>ISNUMBER(SEARCH("STAY",H25))</formula>
    </cfRule>
  </conditionalFormatting>
  <conditionalFormatting sqref="D33:D35">
    <cfRule type="expression" priority="203" aboveAverage="0" equalAverage="0" bottom="0" percent="0" rank="0" text="" dxfId="0">
      <formula>ISNUMBER(SEARCH("NO-GO",D33))</formula>
    </cfRule>
    <cfRule type="expression" priority="204" aboveAverage="0" equalAverage="0" bottom="0" percent="0" rank="0" text="" dxfId="0">
      <formula>ISNUMBER(SEARCH("HOLD",D33))</formula>
    </cfRule>
    <cfRule type="expression" priority="205" aboveAverage="0" equalAverage="0" bottom="0" percent="0" rank="0" text="" dxfId="0">
      <formula>ISNUMBER(SEARCH("KILL",D33))</formula>
    </cfRule>
    <cfRule type="expression" priority="206" aboveAverage="0" equalAverage="0" bottom="0" percent="0" rank="0" text="" dxfId="0">
      <formula>ISNUMBER(SEARCH("BLOCKED",D33))</formula>
    </cfRule>
    <cfRule type="expression" priority="207" aboveAverage="0" equalAverage="0" bottom="0" percent="0" rank="0" text="" dxfId="0">
      <formula>ISNUMBER(SEARCH("INVALID",D33))</formula>
    </cfRule>
    <cfRule type="expression" priority="208" aboveAverage="0" equalAverage="0" bottom="0" percent="0" rank="0" text="" dxfId="0">
      <formula>ISNUMBER(SEARCH("VIOLATION",D33))</formula>
    </cfRule>
    <cfRule type="expression" priority="209" aboveAverage="0" equalAverage="0" bottom="0" percent="0" rank="0" text="" dxfId="0">
      <formula>ISNUMBER(SEARCH("UNDER-SLACKED",D33))</formula>
    </cfRule>
    <cfRule type="expression" priority="210" aboveAverage="0" equalAverage="0" bottom="0" percent="0" rank="0" text="" dxfId="0">
      <formula>ISNUMBER(SEARCH("NOT YET",D33))</formula>
    </cfRule>
    <cfRule type="expression" priority="211" aboveAverage="0" equalAverage="0" bottom="0" percent="0" rank="0" text="" dxfId="0">
      <formula>ISNUMBER(SEARCH("HALF",D33))</formula>
    </cfRule>
    <cfRule type="expression" priority="212" aboveAverage="0" equalAverage="0" bottom="0" percent="0" rank="0" text="" dxfId="0">
      <formula>ISNUMBER(SEARCH("INCOMPLETE",D33))</formula>
    </cfRule>
    <cfRule type="expression" priority="213" aboveAverage="0" equalAverage="0" bottom="0" percent="0" rank="0" text="" dxfId="0">
      <formula>ISNUMBER(SEARCH("ALERT",D33))</formula>
    </cfRule>
    <cfRule type="expression" priority="214" aboveAverage="0" equalAverage="0" bottom="0" percent="0" rank="0" text="" dxfId="0">
      <formula>ISNUMBER(SEARCH("BELOW",D33))</formula>
    </cfRule>
    <cfRule type="expression" priority="215" aboveAverage="0" equalAverage="0" bottom="0" percent="0" rank="0" text="" dxfId="0">
      <formula>ISNUMBER(SEARCH("FAIL",D33))</formula>
    </cfRule>
    <cfRule type="expression" priority="216" aboveAverage="0" equalAverage="0" bottom="0" percent="0" rank="0" text="" dxfId="0">
      <formula>ISNUMBER(SEARCH("STAGNANT",D33))</formula>
    </cfRule>
    <cfRule type="expression" priority="217" aboveAverage="0" equalAverage="0" bottom="0" percent="0" rank="0" text="" dxfId="0">
      <formula>ISNUMBER(SEARCH("MISSING",D33))</formula>
    </cfRule>
    <cfRule type="expression" priority="218" aboveAverage="0" equalAverage="0" bottom="0" percent="0" rank="0" text="" dxfId="0">
      <formula>ISNUMBER(SEARCH("PLANTED",D33))</formula>
    </cfRule>
    <cfRule type="expression" priority="219" aboveAverage="0" equalAverage="0" bottom="0" percent="0" rank="0" text="" dxfId="0">
      <formula>ISNUMBER(SEARCH("WRITE WITHOUT",D33))</formula>
    </cfRule>
    <cfRule type="expression" priority="220" aboveAverage="0" equalAverage="0" bottom="0" percent="0" rank="0" text="" dxfId="0">
      <formula>ISNUMBER(SEARCH("CHALLENGE",D33))</formula>
    </cfRule>
    <cfRule type="expression" priority="221" aboveAverage="0" equalAverage="0" bottom="0" percent="0" rank="0" text="" dxfId="0">
      <formula>ISNUMBER(SEARCH("NOT STARTED",D33))</formula>
    </cfRule>
    <cfRule type="expression" priority="222" aboveAverage="0" equalAverage="0" bottom="0" percent="0" rank="0" text="" dxfId="0">
      <formula>ISNUMBER(SEARCH("DISCUSS",D33))</formula>
    </cfRule>
    <cfRule type="expression" priority="223" aboveAverage="0" equalAverage="0" bottom="0" percent="0" rank="0" text="" dxfId="0">
      <formula>ISNUMBER(SEARCH("UNSIGNED",D33))</formula>
    </cfRule>
    <cfRule type="expression" priority="224" aboveAverage="0" equalAverage="0" bottom="0" percent="0" rank="0" text="" dxfId="0">
      <formula>ISNUMBER(SEARCH("FALSE ALARM",D33))</formula>
    </cfRule>
    <cfRule type="expression" priority="225" aboveAverage="0" equalAverage="0" bottom="0" percent="0" rank="0" text="" dxfId="0">
      <formula>ISNUMBER(SEARCH("MISSED",D33))</formula>
    </cfRule>
    <cfRule type="expression" priority="226" aboveAverage="0" equalAverage="0" bottom="0" percent="0" rank="0" text="" dxfId="0">
      <formula>ISNUMBER(SEARCH("COSTUME",D33))</formula>
    </cfRule>
    <cfRule type="expression" priority="227" aboveAverage="0" equalAverage="0" bottom="0" percent="0" rank="0" text="" dxfId="0">
      <formula>ISNUMBER(SEARCH("PROMISE WITHOUT",D33))</formula>
    </cfRule>
    <cfRule type="expression" priority="228" aboveAverage="0" equalAverage="0" bottom="0" percent="0" rank="0" text="" dxfId="1">
      <formula>ISNUMBER(SEARCH("BORDERLINE",D33))</formula>
    </cfRule>
    <cfRule type="expression" priority="229" aboveAverage="0" equalAverage="0" bottom="0" percent="0" rank="0" text="" dxfId="1">
      <formula>ISNUMBER(SEARCH("WORKFLOW",D33))</formula>
    </cfRule>
    <cfRule type="expression" priority="230" aboveAverage="0" equalAverage="0" bottom="0" percent="0" rank="0" text="" dxfId="1">
      <formula>ISNUMBER(SEARCH("PENDING",D33))</formula>
    </cfRule>
    <cfRule type="expression" priority="231" aboveAverage="0" equalAverage="0" bottom="0" percent="0" rank="0" text="" dxfId="1">
      <formula>ISNUMBER(SEARCH("ADVISORY",D33))</formula>
    </cfRule>
    <cfRule type="expression" priority="232" aboveAverage="0" equalAverage="0" bottom="0" percent="0" rank="0" text="" dxfId="1">
      <formula>ISNUMBER(SEARCH("ABOVE",D33))</formula>
    </cfRule>
    <cfRule type="expression" priority="233" aboveAverage="0" equalAverage="0" bottom="0" percent="0" rank="0" text="" dxfId="1">
      <formula>ISNUMBER(SEARCH("TUNE",D33))</formula>
    </cfRule>
    <cfRule type="expression" priority="234" aboveAverage="0" equalAverage="0" bottom="0" percent="0" rank="0" text="" dxfId="1">
      <formula>ISNUMBER(SEARCH("REVIEW",D33))</formula>
    </cfRule>
    <cfRule type="expression" priority="235" aboveAverage="0" equalAverage="0" bottom="0" percent="0" rank="0" text="" dxfId="1">
      <formula>ISNUMBER(SEARCH("DECIDE",D33))</formula>
    </cfRule>
    <cfRule type="expression" priority="236" aboveAverage="0" equalAverage="0" bottom="0" percent="0" rank="0" text="" dxfId="1">
      <formula>ISNUMBER(SEARCH("IN PROGRESS",D33))</formula>
    </cfRule>
    <cfRule type="expression" priority="237" aboveAverage="0" equalAverage="0" bottom="0" percent="0" rank="0" text="" dxfId="1">
      <formula>ISNUMBER(SEARCH("PARTIAL",D33))</formula>
    </cfRule>
    <cfRule type="expression" priority="238" aboveAverage="0" equalAverage="0" bottom="0" percent="0" rank="0" text="" dxfId="1">
      <formula>ISNUMBER(SEARCH("NO DATA",D33))</formula>
    </cfRule>
    <cfRule type="expression" priority="239" aboveAverage="0" equalAverage="0" bottom="0" percent="0" rank="0" text="" dxfId="1">
      <formula>ISNUMBER(SEARCH("NOT RUN",D33))</formula>
    </cfRule>
    <cfRule type="expression" priority="240" aboveAverage="0" equalAverage="0" bottom="0" percent="0" rank="0" text="" dxfId="1">
      <formula>ISNUMBER(SEARCH("EVALUATE",D33))</formula>
    </cfRule>
    <cfRule type="expression" priority="241" aboveAverage="0" equalAverage="0" bottom="0" percent="0" rank="0" text="" dxfId="1">
      <formula>ISNUMBER(SEARCH("TIGHTEN",D33))</formula>
    </cfRule>
    <cfRule type="expression" priority="242" aboveAverage="0" equalAverage="0" bottom="0" percent="0" rank="0" text="" dxfId="1">
      <formula>ISNUMBER(SEARCH("LOOSEN",D33))</formula>
    </cfRule>
    <cfRule type="expression" priority="243" aboveAverage="0" equalAverage="0" bottom="0" percent="0" rank="0" text="" dxfId="1">
      <formula>ISNUMBER(SEARCH("WEAK",D33))</formula>
    </cfRule>
    <cfRule type="expression" priority="244" aboveAverage="0" equalAverage="0" bottom="0" percent="0" rank="0" text="" dxfId="1">
      <formula>ISNUMBER(SEARCH("ADJACENT",D33))</formula>
    </cfRule>
    <cfRule type="expression" priority="245" aboveAverage="0" equalAverage="0" bottom="0" percent="0" rank="0" text="" dxfId="1">
      <formula>ISNUMBER(SEARCH("GAPS",D33))</formula>
    </cfRule>
    <cfRule type="expression" priority="246" aboveAverage="0" equalAverage="0" bottom="0" percent="0" rank="0" text="" dxfId="1">
      <formula>ISNUMBER(SEARCH("ADD ONE",D33))</formula>
    </cfRule>
    <cfRule type="expression" priority="247" aboveAverage="0" equalAverage="0" bottom="0" percent="0" rank="0" text="" dxfId="1">
      <formula>ISNUMBER(SEARCH("⚠",D33))</formula>
    </cfRule>
    <cfRule type="expression" priority="248" aboveAverage="0" equalAverage="0" bottom="0" percent="0" rank="0" text="" dxfId="2">
      <formula>ISNUMBER(SEARCH("PASS",D33))</formula>
    </cfRule>
    <cfRule type="expression" priority="249" aboveAverage="0" equalAverage="0" bottom="0" percent="0" rank="0" text="" dxfId="2">
      <formula>ISNUMBER(SEARCH("GO",D33))</formula>
    </cfRule>
    <cfRule type="expression" priority="250" aboveAverage="0" equalAverage="0" bottom="0" percent="0" rank="0" text="" dxfId="2">
      <formula>ISNUMBER(SEARCH("BUILD",D33))</formula>
    </cfRule>
    <cfRule type="expression" priority="251" aboveAverage="0" equalAverage="0" bottom="0" percent="0" rank="0" text="" dxfId="2">
      <formula>ISNUMBER(SEARCH("COMPLETE",D33))</formula>
    </cfRule>
    <cfRule type="expression" priority="252" aboveAverage="0" equalAverage="0" bottom="0" percent="0" rank="0" text="" dxfId="2">
      <formula>ISNUMBER(SEARCH("ELIGIBLE",D33))</formula>
    </cfRule>
    <cfRule type="expression" priority="253" aboveAverage="0" equalAverage="0" bottom="0" percent="0" rank="0" text="" dxfId="2">
      <formula>ISNUMBER(SEARCH("SHIP",D33))</formula>
    </cfRule>
    <cfRule type="expression" priority="254" aboveAverage="0" equalAverage="0" bottom="0" percent="0" rank="0" text="" dxfId="2">
      <formula>ISNUMBER(SEARCH("ON TARGET",D33))</formula>
    </cfRule>
    <cfRule type="expression" priority="255" aboveAverage="0" equalAverage="0" bottom="0" percent="0" rank="0" text="" dxfId="2">
      <formula>ISNUMBER(SEARCH("ON TRACK",D33))</formula>
    </cfRule>
    <cfRule type="expression" priority="256" aboveAverage="0" equalAverage="0" bottom="0" percent="0" rank="0" text="" dxfId="2">
      <formula>ISNUMBER(SEARCH("RESOLVED",D33))</formula>
    </cfRule>
    <cfRule type="expression" priority="257" aboveAverage="0" equalAverage="0" bottom="0" percent="0" rank="0" text="" dxfId="2">
      <formula>ISNUMBER(SEARCH("OK",D33))</formula>
    </cfRule>
    <cfRule type="expression" priority="258" aboveAverage="0" equalAverage="0" bottom="0" percent="0" rank="0" text="" dxfId="2">
      <formula>ISNUMBER(SEARCH("MATCH",D33))</formula>
    </cfRule>
    <cfRule type="expression" priority="259" aboveAverage="0" equalAverage="0" bottom="0" percent="0" rank="0" text="" dxfId="2">
      <formula>ISNUMBER(SEARCH("SOUND",D33))</formula>
    </cfRule>
    <cfRule type="expression" priority="260" aboveAverage="0" equalAverage="0" bottom="0" percent="0" rank="0" text="" dxfId="2">
      <formula>ISNUMBER(SEARCH("WITHIN",D33))</formula>
    </cfRule>
    <cfRule type="expression" priority="261" aboveAverage="0" equalAverage="0" bottom="0" percent="0" rank="0" text="" dxfId="2">
      <formula>ISNUMBER(SEARCH("DONE",D33))</formula>
    </cfRule>
    <cfRule type="expression" priority="262" aboveAverage="0" equalAverage="0" bottom="0" percent="0" rank="0" text="" dxfId="2">
      <formula>ISNUMBER(SEARCH("SIGNED",D33))</formula>
    </cfRule>
    <cfRule type="expression" priority="263" aboveAverage="0" equalAverage="0" bottom="0" percent="0" rank="0" text="" dxfId="2">
      <formula>ISNUMBER(SEARCH("✓",D33))</formula>
    </cfRule>
    <cfRule type="expression" priority="264" aboveAverage="0" equalAverage="0" bottom="0" percent="0" rank="0" text="" dxfId="2">
      <formula>ISNUMBER(SEARCH("KEEP",D33))</formula>
    </cfRule>
    <cfRule type="expression" priority="265" aboveAverage="0" equalAverage="0" bottom="0" percent="0" rank="0" text="" dxfId="2">
      <formula>ISNUMBER(SEARCH("DEV-READY",D33))</formula>
    </cfRule>
    <cfRule type="expression" priority="266" aboveAverage="0" equalAverage="0" bottom="0" percent="0" rank="0" text="" dxfId="2">
      <formula>ISNUMBER(SEARCH("GREW",D33))</formula>
    </cfRule>
    <cfRule type="expression" priority="267" aboveAverage="0" equalAverage="0" bottom="0" percent="0" rank="0" text="" dxfId="2">
      <formula>ISNUMBER(SEARCH("HIT",D33))</formula>
    </cfRule>
    <cfRule type="expression" priority="268" aboveAverage="0" equalAverage="0" bottom="0" percent="0" rank="0" text="" dxfId="2">
      <formula>ISNUMBER(SEARCH("CORRECT",D33))</formula>
    </cfRule>
    <cfRule type="expression" priority="269" aboveAverage="0" equalAverage="0" bottom="0" percent="0" rank="0" text="" dxfId="2">
      <formula>ISNUMBER(SEARCH("STAY",D33))</formula>
    </cfRule>
  </conditionalFormatting>
  <dataValidations count="2">
    <dataValidation allowBlank="true" errorStyle="stop" operator="between" showDropDown="false" showErrorMessage="false" showInputMessage="false" sqref="H16:H20" type="list">
      <formula1>"≥,≤"</formula1>
      <formula2>0</formula2>
    </dataValidation>
    <dataValidation allowBlank="true" errorStyle="stop" operator="between" showDropDown="false" showErrorMessage="false" showInputMessage="false" sqref="D33:D3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2026-06-10T12:24:19Z</dcterms:created>
  <dc:creator>openpyxl</dc:creator>
  <dc:description/>
  <dc:language>en-US</dc:language>
  <cp:lastModifiedBy/>
  <dcterms:modified xsi:type="dcterms:W3CDTF">2026-06-23T15:54:43Z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